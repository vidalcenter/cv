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28c329cf2f6e6d0/Documentos/13 - CLONEGIT/meu_site/aulas/analise_ambiental/extras/"/>
    </mc:Choice>
  </mc:AlternateContent>
  <xr:revisionPtr revIDLastSave="2" documentId="6_{96407E9F-B0AD-44A6-B4F3-CB6442011F74}" xr6:coauthVersionLast="47" xr6:coauthVersionMax="47" xr10:uidLastSave="{5300BBA3-F12E-438A-8103-0EAE7DC295A4}"/>
  <bookViews>
    <workbookView xWindow="-108" yWindow="-108" windowWidth="23256" windowHeight="12456" activeTab="1" xr2:uid="{00000000-000D-0000-FFFF-FFFF00000000}"/>
  </bookViews>
  <sheets>
    <sheet name="Instrucoes" sheetId="1" r:id="rId1"/>
    <sheet name="Matriz de Leopold" sheetId="2" r:id="rId2"/>
    <sheet name="Memoria de Calculo" sheetId="3" r:id="rId3"/>
    <sheet name="Sintes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4" l="1"/>
  <c r="B13" i="4"/>
  <c r="B12" i="4"/>
  <c r="B11" i="4"/>
  <c r="B10" i="4"/>
  <c r="B9" i="4"/>
  <c r="B8" i="4"/>
  <c r="B7" i="4"/>
  <c r="S52" i="3"/>
  <c r="R52" i="3"/>
  <c r="Q52" i="3"/>
  <c r="P52" i="3"/>
  <c r="O52" i="3"/>
  <c r="N52" i="3"/>
  <c r="M52" i="3"/>
  <c r="L52" i="3"/>
  <c r="K52" i="3"/>
  <c r="J52" i="3"/>
  <c r="I52" i="3"/>
  <c r="H52" i="3"/>
  <c r="G52" i="3"/>
  <c r="F52" i="3"/>
  <c r="E52" i="3"/>
  <c r="D52" i="3"/>
  <c r="C52" i="3"/>
  <c r="S46" i="3"/>
  <c r="R46" i="3"/>
  <c r="Q46" i="3"/>
  <c r="P46" i="3"/>
  <c r="O46" i="3"/>
  <c r="N46" i="3"/>
  <c r="M46" i="3"/>
  <c r="L46" i="3"/>
  <c r="K46" i="3"/>
  <c r="J46" i="3"/>
  <c r="I46" i="3"/>
  <c r="H46" i="3"/>
  <c r="G46" i="3"/>
  <c r="F46" i="3"/>
  <c r="E46" i="3"/>
  <c r="D46" i="3"/>
  <c r="C46" i="3"/>
  <c r="S40" i="3"/>
  <c r="R40" i="3"/>
  <c r="Q40" i="3"/>
  <c r="P40" i="3"/>
  <c r="O40" i="3"/>
  <c r="N40" i="3"/>
  <c r="M40" i="3"/>
  <c r="L40" i="3"/>
  <c r="K40" i="3"/>
  <c r="J40" i="3"/>
  <c r="I40" i="3"/>
  <c r="H40" i="3"/>
  <c r="G40" i="3"/>
  <c r="F40" i="3"/>
  <c r="E40" i="3"/>
  <c r="D40" i="3"/>
  <c r="C40" i="3"/>
  <c r="S34" i="3"/>
  <c r="R34" i="3"/>
  <c r="Q34" i="3"/>
  <c r="P34" i="3"/>
  <c r="O34" i="3"/>
  <c r="N34" i="3"/>
  <c r="M34" i="3"/>
  <c r="L34" i="3"/>
  <c r="K34" i="3"/>
  <c r="J34" i="3"/>
  <c r="I34" i="3"/>
  <c r="H34" i="3"/>
  <c r="G34" i="3"/>
  <c r="F34" i="3"/>
  <c r="E34" i="3"/>
  <c r="D34" i="3"/>
  <c r="C34" i="3"/>
  <c r="S28" i="3"/>
  <c r="R28" i="3"/>
  <c r="Q28" i="3"/>
  <c r="P28" i="3"/>
  <c r="O28" i="3"/>
  <c r="N28" i="3"/>
  <c r="M28" i="3"/>
  <c r="L28" i="3"/>
  <c r="K28" i="3"/>
  <c r="J28" i="3"/>
  <c r="I28" i="3"/>
  <c r="H28" i="3"/>
  <c r="G28" i="3"/>
  <c r="F28" i="3"/>
  <c r="E28" i="3"/>
  <c r="D28" i="3"/>
  <c r="C28" i="3"/>
  <c r="S22" i="3"/>
  <c r="R22" i="3"/>
  <c r="Q22" i="3"/>
  <c r="P22" i="3"/>
  <c r="O22" i="3"/>
  <c r="N22" i="3"/>
  <c r="M22" i="3"/>
  <c r="L22" i="3"/>
  <c r="K22" i="3"/>
  <c r="J22" i="3"/>
  <c r="I22" i="3"/>
  <c r="H22" i="3"/>
  <c r="G22" i="3"/>
  <c r="F22" i="3"/>
  <c r="E22" i="3"/>
  <c r="D22" i="3"/>
  <c r="C22" i="3"/>
  <c r="S16" i="3"/>
  <c r="R16" i="3"/>
  <c r="Q16" i="3"/>
  <c r="P16" i="3"/>
  <c r="O16" i="3"/>
  <c r="N16" i="3"/>
  <c r="M16" i="3"/>
  <c r="L16" i="3"/>
  <c r="K16" i="3"/>
  <c r="J16" i="3"/>
  <c r="I16" i="3"/>
  <c r="H16" i="3"/>
  <c r="G16" i="3"/>
  <c r="F16" i="3"/>
  <c r="E16" i="3"/>
  <c r="D16" i="3"/>
  <c r="C16" i="3"/>
  <c r="S10" i="3"/>
  <c r="R10" i="3"/>
  <c r="Q10" i="3"/>
  <c r="P10" i="3"/>
  <c r="O10" i="3"/>
  <c r="N10" i="3"/>
  <c r="M10" i="3"/>
  <c r="L10" i="3"/>
  <c r="K10" i="3"/>
  <c r="J10" i="3"/>
  <c r="I10" i="3"/>
  <c r="H10" i="3"/>
  <c r="G10" i="3"/>
  <c r="F10" i="3"/>
  <c r="E10" i="3"/>
  <c r="D10" i="3"/>
  <c r="C10" i="3"/>
  <c r="S15" i="2"/>
  <c r="R15" i="2"/>
  <c r="Q15" i="2"/>
  <c r="P15" i="2"/>
  <c r="O15" i="2"/>
  <c r="N15" i="2"/>
  <c r="M15" i="2"/>
  <c r="L15" i="2"/>
  <c r="K15" i="2"/>
  <c r="J15" i="2"/>
  <c r="I15" i="2"/>
  <c r="H15" i="2"/>
  <c r="G15" i="2"/>
  <c r="F15" i="2"/>
  <c r="E15" i="2"/>
  <c r="V15" i="2" s="1"/>
  <c r="E14" i="4" s="1"/>
  <c r="D15" i="2"/>
  <c r="C15" i="2"/>
  <c r="S14" i="2"/>
  <c r="R14" i="2"/>
  <c r="Q14" i="2"/>
  <c r="P14" i="2"/>
  <c r="O14" i="2"/>
  <c r="N14" i="2"/>
  <c r="M14" i="2"/>
  <c r="L14" i="2"/>
  <c r="K14" i="2"/>
  <c r="J14" i="2"/>
  <c r="I14" i="2"/>
  <c r="H14" i="2"/>
  <c r="G14" i="2"/>
  <c r="F14" i="2"/>
  <c r="E14" i="2"/>
  <c r="D14" i="2"/>
  <c r="C14" i="2"/>
  <c r="S13" i="2"/>
  <c r="R13" i="2"/>
  <c r="Q13" i="2"/>
  <c r="P13" i="2"/>
  <c r="O13" i="2"/>
  <c r="N13" i="2"/>
  <c r="M13" i="2"/>
  <c r="L13" i="2"/>
  <c r="K13" i="2"/>
  <c r="J13" i="2"/>
  <c r="I13" i="2"/>
  <c r="H13" i="2"/>
  <c r="G13" i="2"/>
  <c r="F13" i="2"/>
  <c r="E13" i="2"/>
  <c r="D13" i="2"/>
  <c r="C13" i="2"/>
  <c r="S12" i="2"/>
  <c r="R12" i="2"/>
  <c r="Q12" i="2"/>
  <c r="P12" i="2"/>
  <c r="O12" i="2"/>
  <c r="N12" i="2"/>
  <c r="M12" i="2"/>
  <c r="L12" i="2"/>
  <c r="K12" i="2"/>
  <c r="J12" i="2"/>
  <c r="I12" i="2"/>
  <c r="U12" i="2" s="1"/>
  <c r="D11" i="4" s="1"/>
  <c r="H12" i="2"/>
  <c r="G12" i="2"/>
  <c r="F12" i="2"/>
  <c r="E12" i="2"/>
  <c r="D12" i="2"/>
  <c r="C12" i="2"/>
  <c r="S11" i="2"/>
  <c r="R11" i="2"/>
  <c r="Q11" i="2"/>
  <c r="P11" i="2"/>
  <c r="O11" i="2"/>
  <c r="N11" i="2"/>
  <c r="M11" i="2"/>
  <c r="L11" i="2"/>
  <c r="K11" i="2"/>
  <c r="J11" i="2"/>
  <c r="I11" i="2"/>
  <c r="H11" i="2"/>
  <c r="G11" i="2"/>
  <c r="F11" i="2"/>
  <c r="E11" i="2"/>
  <c r="D11" i="2"/>
  <c r="C11" i="2"/>
  <c r="S10" i="2"/>
  <c r="R10" i="2"/>
  <c r="Q10" i="2"/>
  <c r="P10" i="2"/>
  <c r="O10" i="2"/>
  <c r="N10" i="2"/>
  <c r="M10" i="2"/>
  <c r="L10" i="2"/>
  <c r="K10" i="2"/>
  <c r="J10" i="2"/>
  <c r="I10" i="2"/>
  <c r="H10" i="2"/>
  <c r="G10" i="2"/>
  <c r="F10" i="2"/>
  <c r="E10" i="2"/>
  <c r="D10" i="2"/>
  <c r="C10" i="2"/>
  <c r="U10" i="2" s="1"/>
  <c r="D9" i="4" s="1"/>
  <c r="S9" i="2"/>
  <c r="R9" i="2"/>
  <c r="Q9" i="2"/>
  <c r="P9" i="2"/>
  <c r="O9" i="2"/>
  <c r="N9" i="2"/>
  <c r="M9" i="2"/>
  <c r="L9" i="2"/>
  <c r="K9" i="2"/>
  <c r="J9" i="2"/>
  <c r="I9" i="2"/>
  <c r="H9" i="2"/>
  <c r="G9" i="2"/>
  <c r="F9" i="2"/>
  <c r="E9" i="2"/>
  <c r="D9" i="2"/>
  <c r="C9" i="2"/>
  <c r="S8" i="2"/>
  <c r="R8" i="2"/>
  <c r="Q8" i="2"/>
  <c r="Q17" i="2" s="1"/>
  <c r="D33" i="4" s="1"/>
  <c r="P8" i="2"/>
  <c r="O8" i="2"/>
  <c r="N8" i="2"/>
  <c r="M8" i="2"/>
  <c r="L8" i="2"/>
  <c r="K8" i="2"/>
  <c r="J8" i="2"/>
  <c r="I8" i="2"/>
  <c r="I17" i="2" s="1"/>
  <c r="D25" i="4" s="1"/>
  <c r="H8" i="2"/>
  <c r="G8" i="2"/>
  <c r="F8" i="2"/>
  <c r="E8" i="2"/>
  <c r="D8" i="2"/>
  <c r="C8" i="2"/>
  <c r="K16" i="2" l="1"/>
  <c r="C27" i="4" s="1"/>
  <c r="F27" i="4" s="1"/>
  <c r="T11" i="2"/>
  <c r="C10" i="4" s="1"/>
  <c r="F10" i="4" s="1"/>
  <c r="T12" i="2"/>
  <c r="C11" i="4" s="1"/>
  <c r="F11" i="4" s="1"/>
  <c r="C16" i="2"/>
  <c r="C19" i="4" s="1"/>
  <c r="F19" i="4" s="1"/>
  <c r="S16" i="2"/>
  <c r="C35" i="4" s="1"/>
  <c r="F35" i="4" s="1"/>
  <c r="V11" i="2"/>
  <c r="E10" i="4" s="1"/>
  <c r="V14" i="2"/>
  <c r="E13" i="4" s="1"/>
  <c r="J16" i="2"/>
  <c r="C26" i="4" s="1"/>
  <c r="F26" i="4" s="1"/>
  <c r="R16" i="2"/>
  <c r="C34" i="4" s="1"/>
  <c r="F34" i="4" s="1"/>
  <c r="U11" i="2"/>
  <c r="D10" i="4" s="1"/>
  <c r="T15" i="2"/>
  <c r="C14" i="4" s="1"/>
  <c r="F14" i="4" s="1"/>
  <c r="D18" i="2"/>
  <c r="E20" i="4" s="1"/>
  <c r="U8" i="2"/>
  <c r="D7" i="4" s="1"/>
  <c r="V12" i="2"/>
  <c r="E11" i="4" s="1"/>
  <c r="L18" i="2"/>
  <c r="E28" i="4" s="1"/>
  <c r="E18" i="2"/>
  <c r="E21" i="4" s="1"/>
  <c r="M18" i="2"/>
  <c r="E29" i="4" s="1"/>
  <c r="F18" i="2"/>
  <c r="E22" i="4" s="1"/>
  <c r="N18" i="2"/>
  <c r="E30" i="4" s="1"/>
  <c r="T9" i="2"/>
  <c r="C8" i="4" s="1"/>
  <c r="F8" i="4" s="1"/>
  <c r="T13" i="2"/>
  <c r="C12" i="4" s="1"/>
  <c r="F12" i="4" s="1"/>
  <c r="V13" i="2"/>
  <c r="E12" i="4" s="1"/>
  <c r="G18" i="2"/>
  <c r="E23" i="4" s="1"/>
  <c r="O18" i="2"/>
  <c r="E31" i="4" s="1"/>
  <c r="V9" i="2"/>
  <c r="E8" i="4" s="1"/>
  <c r="T10" i="2"/>
  <c r="C9" i="4" s="1"/>
  <c r="F9" i="4" s="1"/>
  <c r="U13" i="2"/>
  <c r="D12" i="4" s="1"/>
  <c r="H18" i="2"/>
  <c r="E24" i="4" s="1"/>
  <c r="P18" i="2"/>
  <c r="E32" i="4" s="1"/>
  <c r="V10" i="2"/>
  <c r="E9" i="4" s="1"/>
  <c r="T14" i="2"/>
  <c r="C13" i="4" s="1"/>
  <c r="F13" i="4" s="1"/>
  <c r="U14" i="2"/>
  <c r="D13" i="4" s="1"/>
  <c r="T8" i="2"/>
  <c r="D16" i="2"/>
  <c r="C20" i="4" s="1"/>
  <c r="F20" i="4" s="1"/>
  <c r="L16" i="2"/>
  <c r="C28" i="4" s="1"/>
  <c r="F28" i="4" s="1"/>
  <c r="J17" i="2"/>
  <c r="D26" i="4" s="1"/>
  <c r="R17" i="2"/>
  <c r="D34" i="4" s="1"/>
  <c r="I18" i="2"/>
  <c r="E25" i="4" s="1"/>
  <c r="Q18" i="2"/>
  <c r="E33" i="4" s="1"/>
  <c r="E16" i="2"/>
  <c r="C21" i="4" s="1"/>
  <c r="F21" i="4" s="1"/>
  <c r="M16" i="2"/>
  <c r="C29" i="4" s="1"/>
  <c r="F29" i="4" s="1"/>
  <c r="C17" i="2"/>
  <c r="D19" i="4" s="1"/>
  <c r="K17" i="2"/>
  <c r="D27" i="4" s="1"/>
  <c r="S17" i="2"/>
  <c r="D35" i="4" s="1"/>
  <c r="J18" i="2"/>
  <c r="E26" i="4" s="1"/>
  <c r="R18" i="2"/>
  <c r="E34" i="4" s="1"/>
  <c r="F16" i="2"/>
  <c r="C22" i="4" s="1"/>
  <c r="F22" i="4" s="1"/>
  <c r="N16" i="2"/>
  <c r="C30" i="4" s="1"/>
  <c r="F30" i="4" s="1"/>
  <c r="D17" i="2"/>
  <c r="D20" i="4" s="1"/>
  <c r="L17" i="2"/>
  <c r="D28" i="4" s="1"/>
  <c r="C18" i="2"/>
  <c r="E19" i="4" s="1"/>
  <c r="K18" i="2"/>
  <c r="E27" i="4" s="1"/>
  <c r="S18" i="2"/>
  <c r="E35" i="4" s="1"/>
  <c r="G16" i="2"/>
  <c r="C23" i="4" s="1"/>
  <c r="F23" i="4" s="1"/>
  <c r="O16" i="2"/>
  <c r="C31" i="4" s="1"/>
  <c r="F31" i="4" s="1"/>
  <c r="E17" i="2"/>
  <c r="D21" i="4" s="1"/>
  <c r="M17" i="2"/>
  <c r="D29" i="4" s="1"/>
  <c r="V8" i="2"/>
  <c r="E7" i="4" s="1"/>
  <c r="H16" i="2"/>
  <c r="C24" i="4" s="1"/>
  <c r="F24" i="4" s="1"/>
  <c r="P16" i="2"/>
  <c r="C32" i="4" s="1"/>
  <c r="F32" i="4" s="1"/>
  <c r="F17" i="2"/>
  <c r="D22" i="4" s="1"/>
  <c r="N17" i="2"/>
  <c r="D30" i="4" s="1"/>
  <c r="U9" i="2"/>
  <c r="D8" i="4" s="1"/>
  <c r="U15" i="2"/>
  <c r="D14" i="4" s="1"/>
  <c r="I16" i="2"/>
  <c r="C25" i="4" s="1"/>
  <c r="F25" i="4" s="1"/>
  <c r="Q16" i="2"/>
  <c r="C33" i="4" s="1"/>
  <c r="F33" i="4" s="1"/>
  <c r="G17" i="2"/>
  <c r="D23" i="4" s="1"/>
  <c r="O17" i="2"/>
  <c r="D31" i="4" s="1"/>
  <c r="H17" i="2"/>
  <c r="D24" i="4" s="1"/>
  <c r="P17" i="2"/>
  <c r="D32" i="4" s="1"/>
  <c r="C7" i="4" l="1"/>
  <c r="F7" i="4" s="1"/>
  <c r="T16" i="2"/>
  <c r="D38" i="4" s="1"/>
</calcChain>
</file>

<file path=xl/sharedStrings.xml><?xml version="1.0" encoding="utf-8"?>
<sst xmlns="http://schemas.openxmlformats.org/spreadsheetml/2006/main" count="213" uniqueCount="113">
  <si>
    <t>MATRIZ DE LEOPOLD - AVALIACAO DE IMPACTO AMBIENTAL</t>
  </si>
  <si>
    <t>Planilha de apoio didatico. Preencha apenas a aba Memoria de Calculo; a matriz colorida e os totais sao recalculados automaticamente.</t>
  </si>
  <si>
    <t>Como a planilha funciona</t>
  </si>
  <si>
    <t>A matriz de Leopold cruza as acoes previstas para o empreendimento, dispostas nas linhas, com os fatores ambientais que podem ser atingidos, dispostos nas colunas. Cada cruzamento recebe uma nota que resume a magnitude e a importancia da interacao. Nesta planilha a nota nao e digitada diretamente na matriz, porque ela nasce da aba Memoria de Calculo, onde cada cruzamento e decomposto em cinco atributos julgados separadamente pelo avaliador. O valor sintetico retorna para a aba Matriz de Leopold por formula, de modo que qualquer mudanca de julgamento se propaga na hora para a cor da celula, para o total da acao e para o total do fator.</t>
  </si>
  <si>
    <t>A regra de calculo</t>
  </si>
  <si>
    <t>O carater informa se a interacao e adversa, nula ou benefica, e assume os valores -1, 0 e +1. Os outros quatro atributos sao intensidades julgadas de zero a tres e descrevem, respectivamente, quanto o fator e afetado, qual a extensao espacial atingida, por quanto tempo o efeito persiste e quao dificil e reverte-lo. A nota final do cruzamento e o produto do carater pela soma dos quatro atributos, o que confina o resultado ao intervalo de -12 a +12 e preserva o sinal do julgamento inicial. Quando o carater e zero a nota se anula por construcao, e o cruzamento passa a ser lido como ausencia de interacao relevante.</t>
  </si>
  <si>
    <t>Escalas adotadas</t>
  </si>
  <si>
    <t>Atributo</t>
  </si>
  <si>
    <t>0</t>
  </si>
  <si>
    <t>1</t>
  </si>
  <si>
    <t>2</t>
  </si>
  <si>
    <t>3</t>
  </si>
  <si>
    <t>Leitura</t>
  </si>
  <si>
    <t>Carater (Ca)</t>
  </si>
  <si>
    <t>nulo</t>
  </si>
  <si>
    <t>-1 adverso  /  +1 benefico</t>
  </si>
  <si>
    <t>sinal do impacto; zera o cruzamento quando nao ha interacao</t>
  </si>
  <si>
    <t>Importancia (I)</t>
  </si>
  <si>
    <t>nula</t>
  </si>
  <si>
    <t>baixa</t>
  </si>
  <si>
    <t>media</t>
  </si>
  <si>
    <t>alta</t>
  </si>
  <si>
    <t>quanto o fator e efetivamente alterado</t>
  </si>
  <si>
    <t>Cobertura (Co)</t>
  </si>
  <si>
    <t>pontual</t>
  </si>
  <si>
    <t>local</t>
  </si>
  <si>
    <t>regional</t>
  </si>
  <si>
    <t>extensao espacial atingida pelo efeito</t>
  </si>
  <si>
    <t>Duracao (D)</t>
  </si>
  <si>
    <t>curta (ate 1 ano)</t>
  </si>
  <si>
    <t>media (1 a 5 anos)</t>
  </si>
  <si>
    <t>longa (acima de 5 anos)</t>
  </si>
  <si>
    <t>permanencia do efeito depois da acao</t>
  </si>
  <si>
    <t>Reversibilidade (R)</t>
  </si>
  <si>
    <t>reversivel a curto prazo</t>
  </si>
  <si>
    <t>reversivel a longo prazo</t>
  </si>
  <si>
    <t>irreversivel</t>
  </si>
  <si>
    <t>capacidade de retorno a condicao anterior</t>
  </si>
  <si>
    <t>Convencao de cores da matriz</t>
  </si>
  <si>
    <t>Impacto negativo, nota menor que zero</t>
  </si>
  <si>
    <t>Interacao nula ou nao significativa, nota igual a zero</t>
  </si>
  <si>
    <t>Impacto positivo, nota maior que zero</t>
  </si>
  <si>
    <t>Para adaptar a planilha a outro empreendimento basta substituir os nomes das acoes e dos fatores nas duas abas, mantendo a mesma ordem, e rejulgar os cinco atributos de cada cruzamento. As linhas e colunas que nao se aplicarem podem ter o carater zerado, o que as neutraliza sem quebrar nenhuma formula.</t>
  </si>
  <si>
    <t>Empreendimento:</t>
  </si>
  <si>
    <t>[preencher]</t>
  </si>
  <si>
    <t>Avaliador:</t>
  </si>
  <si>
    <t>ACOES DE PROJETO</t>
  </si>
  <si>
    <t>Acao / interveniencia</t>
  </si>
  <si>
    <t>ELEMENTOS NATURAIS E HUMANOS</t>
  </si>
  <si>
    <t>TOTAL da acao</t>
  </si>
  <si>
    <t>N. impactos negativos</t>
  </si>
  <si>
    <t>N. impactos positivos</t>
  </si>
  <si>
    <t>CARACTERISTICAS FISICAS E QUIMICAS</t>
  </si>
  <si>
    <t>CONDICOES BIOLOGICAS</t>
  </si>
  <si>
    <t>FATORES CULTURAIS / STATUS CULTURAL</t>
  </si>
  <si>
    <t>RELACOES ECOLOGICAS</t>
  </si>
  <si>
    <t>Terra</t>
  </si>
  <si>
    <t>Agua</t>
  </si>
  <si>
    <t>Atmosfera</t>
  </si>
  <si>
    <t>Processos</t>
  </si>
  <si>
    <t>Flora</t>
  </si>
  <si>
    <t>Fauna</t>
  </si>
  <si>
    <t>Uso humano</t>
  </si>
  <si>
    <t>Ecologia</t>
  </si>
  <si>
    <t>Materiais de Construcao</t>
  </si>
  <si>
    <t>Solos</t>
  </si>
  <si>
    <t>Caracteristicas Fisicas</t>
  </si>
  <si>
    <t>Superficial</t>
  </si>
  <si>
    <t>Qualidade</t>
  </si>
  <si>
    <t>Recarga</t>
  </si>
  <si>
    <t>Qualidade (gases, particulas)</t>
  </si>
  <si>
    <t>Erosao</t>
  </si>
  <si>
    <t>Arvores</t>
  </si>
  <si>
    <t>Arbustos</t>
  </si>
  <si>
    <t>Aves</t>
  </si>
  <si>
    <t>Animais terrestres</t>
  </si>
  <si>
    <t>Saude e seguranca</t>
  </si>
  <si>
    <t>Empregos</t>
  </si>
  <si>
    <t>Densidade populacional</t>
  </si>
  <si>
    <t>Cadeia alimentar</t>
  </si>
  <si>
    <t>Usurpacao de matas</t>
  </si>
  <si>
    <t>Modificacoes de Regime</t>
  </si>
  <si>
    <t>Modificacao de Habitat</t>
  </si>
  <si>
    <t>Alteracao da Cobertura do Solo</t>
  </si>
  <si>
    <t>Alteracao do Balanco Hidrologico</t>
  </si>
  <si>
    <t>Alteracao da Drenagem</t>
  </si>
  <si>
    <t>Pavimentacao de Superficies</t>
  </si>
  <si>
    <t>Ruidos ou Vibracao</t>
  </si>
  <si>
    <t>Transformacao do Espaco e Construcao</t>
  </si>
  <si>
    <t>Aterro</t>
  </si>
  <si>
    <t>Escavacoes de Superficie</t>
  </si>
  <si>
    <t>TOTAL do fator</t>
  </si>
  <si>
    <t>Legenda</t>
  </si>
  <si>
    <t>Negativo</t>
  </si>
  <si>
    <t>Neutro, sem interacao</t>
  </si>
  <si>
    <t>Positivo</t>
  </si>
  <si>
    <t>Nota de cada cruzamento igual a Ca x (I + Co + D + R), com Ca em -1, 0 ou +1 e os demais atributos de 0 a 3, o que limita a nota ao intervalo de -12 a +12. Os valores vem da aba Memoria de Calculo.</t>
  </si>
  <si>
    <t>MEMORIA DE CALCULO - JULGAMENTO DOS ATRIBUTOS POR CRUZAMENTO</t>
  </si>
  <si>
    <t>Edite somente as linhas Ca, I, Co, D e R. A linha TOTAL e calculada e alimenta a aba Matriz de Leopold. Ca aceita -1, 0 ou +1; os demais atributos aceitam 0, 1, 2 ou 3.</t>
  </si>
  <si>
    <t>Acao do projeto</t>
  </si>
  <si>
    <t>TOTAL = Ca x (I+Co+D+R)</t>
  </si>
  <si>
    <t>SINTESE - HIERARQUIZACAO DE ACOES E FATORES</t>
  </si>
  <si>
    <t>Os valores desta aba sao lidos da matriz. Quanto mais negativo o somatorio, maior a contribuicao da acao para a degradacao esperada, ou maior a sensibilidade do fator ao conjunto do empreendimento. Ordene as tabelas pela coluna Somatorio para obter a hierarquia.</t>
  </si>
  <si>
    <t>Acoes do projeto</t>
  </si>
  <si>
    <t>Acao</t>
  </si>
  <si>
    <t>Somatorio</t>
  </si>
  <si>
    <t>Negativos</t>
  </si>
  <si>
    <t>Positivos</t>
  </si>
  <si>
    <t>Media por fator</t>
  </si>
  <si>
    <t>Fatores ambientais</t>
  </si>
  <si>
    <t>Fator</t>
  </si>
  <si>
    <t>Media por acao</t>
  </si>
  <si>
    <t>Balanco liquido do empreendimento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</si>
</sst>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rgb="FFFFFFFF"/>
      <name val="Calibri"/>
    </font>
    <font>
      <i/>
      <sz val="10"/>
      <color rgb="FF404040"/>
      <name val="Calibri"/>
    </font>
    <font>
      <b/>
      <sz val="12"/>
      <color rgb="FF1F6B3B"/>
      <name val="Calibri"/>
    </font>
    <font>
      <sz val="11"/>
      <color rgb="FF1A1A1A"/>
      <name val="Calibri"/>
    </font>
    <font>
      <b/>
      <sz val="10"/>
      <color rgb="FFFFFFFF"/>
      <name val="Calibri"/>
    </font>
    <font>
      <sz val="10"/>
      <name val="Calibri"/>
    </font>
    <font>
      <b/>
      <sz val="9"/>
      <color rgb="FFFFFFFF"/>
      <name val="Calibri"/>
    </font>
    <font>
      <b/>
      <sz val="10"/>
      <color rgb="FF000000"/>
      <name val="Calibri"/>
    </font>
    <font>
      <sz val="9"/>
      <color rgb="FF000000"/>
      <name val="Calibri"/>
    </font>
    <font>
      <b/>
      <sz val="9"/>
      <color rgb="FF000000"/>
      <name val="Calibri"/>
    </font>
    <font>
      <b/>
      <sz val="9"/>
      <name val="Calibri"/>
    </font>
    <font>
      <b/>
      <sz val="10"/>
      <color rgb="FF595959"/>
      <name val="Calibri"/>
    </font>
    <font>
      <b/>
      <sz val="11"/>
      <name val="Calibri"/>
    </font>
    <font>
      <b/>
      <sz val="12"/>
      <name val="Calibri"/>
    </font>
  </fonts>
  <fills count="23">
    <fill>
      <patternFill patternType="none"/>
    </fill>
    <fill>
      <patternFill patternType="gray125"/>
    </fill>
    <fill>
      <patternFill patternType="solid">
        <fgColor rgb="FF1F6B3B"/>
      </patternFill>
    </fill>
    <fill>
      <patternFill patternType="solid">
        <fgColor rgb="FFF2F7F3"/>
      </patternFill>
    </fill>
    <fill>
      <patternFill patternType="solid">
        <fgColor rgb="FFFFFFFF"/>
      </patternFill>
    </fill>
    <fill>
      <patternFill patternType="solid">
        <fgColor rgb="FFFF0000"/>
      </patternFill>
    </fill>
    <fill>
      <patternFill patternType="solid">
        <fgColor rgb="FFFFFF00"/>
      </patternFill>
    </fill>
    <fill>
      <patternFill patternType="solid">
        <fgColor rgb="FF00B050"/>
      </patternFill>
    </fill>
    <fill>
      <patternFill patternType="solid">
        <fgColor rgb="FF404040"/>
      </patternFill>
    </fill>
    <fill>
      <patternFill patternType="solid">
        <fgColor rgb="FF2E9BD6"/>
      </patternFill>
    </fill>
    <fill>
      <patternFill patternType="solid">
        <fgColor rgb="FF1E9E4A"/>
      </patternFill>
    </fill>
    <fill>
      <patternFill patternType="solid">
        <fgColor rgb="FF3FBFD0"/>
      </patternFill>
    </fill>
    <fill>
      <patternFill patternType="solid">
        <fgColor rgb="FF25D0E0"/>
      </patternFill>
    </fill>
    <fill>
      <patternFill patternType="solid">
        <fgColor rgb="FFF4A460"/>
      </patternFill>
    </fill>
    <fill>
      <patternFill patternType="solid">
        <fgColor rgb="FFEDEDED"/>
      </patternFill>
    </fill>
    <fill>
      <patternFill patternType="solid">
        <fgColor rgb="FFF7F7F7"/>
      </patternFill>
    </fill>
    <fill>
      <patternFill patternType="solid">
        <fgColor rgb="FF595959"/>
      </patternFill>
    </fill>
    <fill>
      <patternFill patternType="solid">
        <fgColor rgb="FFD9CE6A"/>
      </patternFill>
    </fill>
    <fill>
      <patternFill patternType="solid">
        <fgColor rgb="FF1F4E79"/>
      </patternFill>
    </fill>
    <fill>
      <patternFill patternType="solid">
        <fgColor rgb="FFC55A11"/>
      </patternFill>
    </fill>
    <fill>
      <patternFill patternType="solid">
        <fgColor rgb="FF843C0C"/>
      </patternFill>
    </fill>
    <fill>
      <patternFill patternType="solid">
        <fgColor rgb="FFDDEBF7"/>
      </patternFill>
    </fill>
    <fill>
      <patternFill patternType="solid">
        <fgColor rgb="FFE7E6E6"/>
      </patternFill>
    </fill>
  </fills>
  <borders count="5">
    <border>
      <left/>
      <right/>
      <top/>
      <bottom/>
      <diagonal/>
    </border>
    <border>
      <left style="thin">
        <color rgb="FF7F7F7F"/>
      </left>
      <right style="thin">
        <color rgb="FF7F7F7F"/>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medium">
        <color rgb="FF404040"/>
      </left>
      <right style="medium">
        <color rgb="FF404040"/>
      </right>
      <top style="medium">
        <color rgb="FF404040"/>
      </top>
      <bottom style="medium">
        <color rgb="FF404040"/>
      </bottom>
      <diagonal/>
    </border>
  </borders>
  <cellStyleXfs count="1">
    <xf numFmtId="0" fontId="0" fillId="0" borderId="0"/>
  </cellStyleXfs>
  <cellXfs count="59">
    <xf numFmtId="0" fontId="0" fillId="0" borderId="0" xfId="0"/>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3" fillId="0" borderId="0" xfId="0" applyFont="1"/>
    <xf numFmtId="0" fontId="0" fillId="5" borderId="1" xfId="0" applyFill="1" applyBorder="1"/>
    <xf numFmtId="0" fontId="0" fillId="6" borderId="1" xfId="0" applyFill="1" applyBorder="1"/>
    <xf numFmtId="0" fontId="0" fillId="7" borderId="1" xfId="0" applyFill="1" applyBorder="1"/>
    <xf numFmtId="0" fontId="8" fillId="0" borderId="0" xfId="0" applyFont="1"/>
    <xf numFmtId="0" fontId="5" fillId="18" borderId="1" xfId="0" applyFont="1" applyFill="1" applyBorder="1" applyAlignment="1">
      <alignment horizontal="center" vertical="center" wrapText="1"/>
    </xf>
    <xf numFmtId="0" fontId="7" fillId="9" borderId="1" xfId="0" applyFont="1" applyFill="1" applyBorder="1" applyAlignment="1">
      <alignment horizontal="center" vertical="center" textRotation="90" wrapText="1"/>
    </xf>
    <xf numFmtId="0" fontId="7" fillId="10" borderId="1" xfId="0" applyFont="1" applyFill="1" applyBorder="1" applyAlignment="1">
      <alignment horizontal="center" vertical="center" textRotation="90" wrapText="1"/>
    </xf>
    <xf numFmtId="0" fontId="7" fillId="11" borderId="1" xfId="0" applyFont="1" applyFill="1" applyBorder="1" applyAlignment="1">
      <alignment horizontal="center" vertical="center" textRotation="90" wrapText="1"/>
    </xf>
    <xf numFmtId="0" fontId="7" fillId="12" borderId="1" xfId="0" applyFont="1" applyFill="1" applyBorder="1" applyAlignment="1">
      <alignment horizontal="center" vertical="center" textRotation="90" wrapText="1"/>
    </xf>
    <xf numFmtId="0" fontId="8" fillId="13"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8" fillId="22"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8" fillId="17" borderId="1" xfId="0" applyFont="1" applyFill="1" applyBorder="1" applyAlignment="1">
      <alignment horizontal="left" vertical="center" wrapText="1"/>
    </xf>
    <xf numFmtId="0" fontId="5" fillId="16" borderId="1" xfId="0" applyFont="1" applyFill="1" applyBorder="1" applyAlignment="1">
      <alignment horizontal="center" vertical="center" wrapText="1"/>
    </xf>
    <xf numFmtId="0" fontId="0" fillId="16" borderId="1" xfId="0" applyFill="1" applyBorder="1"/>
    <xf numFmtId="0" fontId="8" fillId="6"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9" fillId="14" borderId="1" xfId="0" applyFont="1" applyFill="1" applyBorder="1" applyAlignment="1">
      <alignment horizontal="left" vertical="center" wrapText="1"/>
    </xf>
    <xf numFmtId="0" fontId="6" fillId="15" borderId="1" xfId="0" applyFont="1" applyFill="1" applyBorder="1" applyAlignment="1">
      <alignment horizontal="center" vertical="center" wrapText="1"/>
    </xf>
    <xf numFmtId="0" fontId="7" fillId="16" borderId="1" xfId="0" applyFont="1" applyFill="1" applyBorder="1" applyAlignment="1">
      <alignment horizontal="left" vertical="center" wrapText="1"/>
    </xf>
    <xf numFmtId="0" fontId="6" fillId="21" borderId="1" xfId="0" applyFont="1" applyFill="1" applyBorder="1" applyAlignment="1">
      <alignment horizontal="left" vertical="center" wrapText="1"/>
    </xf>
    <xf numFmtId="0" fontId="6" fillId="21"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2" fillId="0" borderId="0" xfId="0" applyFont="1" applyAlignment="1">
      <alignment horizontal="left" vertical="center" wrapText="1"/>
    </xf>
    <xf numFmtId="0" fontId="0" fillId="0" borderId="0" xfId="0"/>
    <xf numFmtId="0" fontId="1" fillId="2" borderId="0" xfId="0" applyFont="1" applyFill="1" applyAlignment="1">
      <alignment horizontal="center" vertical="center" wrapText="1"/>
    </xf>
    <xf numFmtId="0" fontId="4"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justify" vertical="top" wrapText="1"/>
    </xf>
    <xf numFmtId="0" fontId="6" fillId="3" borderId="1" xfId="0" applyFont="1" applyFill="1" applyBorder="1" applyAlignment="1">
      <alignment horizontal="center" vertical="center" wrapText="1"/>
    </xf>
    <xf numFmtId="0" fontId="0" fillId="0" borderId="2" xfId="0" applyBorder="1"/>
    <xf numFmtId="0" fontId="0" fillId="0" borderId="3" xfId="0" applyBorder="1"/>
    <xf numFmtId="0" fontId="3" fillId="0" borderId="0" xfId="0" applyFont="1"/>
    <xf numFmtId="0" fontId="5" fillId="11" borderId="1" xfId="0" applyFont="1" applyFill="1" applyBorder="1" applyAlignment="1">
      <alignment horizontal="center" vertical="center" wrapText="1"/>
    </xf>
    <xf numFmtId="0" fontId="5" fillId="8" borderId="1" xfId="0" applyFont="1" applyFill="1" applyBorder="1" applyAlignment="1">
      <alignment horizontal="center" vertical="center" textRotation="90" wrapText="1"/>
    </xf>
    <xf numFmtId="0" fontId="5" fillId="9"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5" fillId="18" borderId="1" xfId="0" applyFont="1" applyFill="1" applyBorder="1" applyAlignment="1">
      <alignment horizontal="center" vertical="center" wrapText="1"/>
    </xf>
    <xf numFmtId="0" fontId="10" fillId="21"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11" fillId="17" borderId="1" xfId="0" applyFont="1" applyFill="1" applyBorder="1" applyAlignment="1">
      <alignment horizontal="center" vertical="center" textRotation="90" wrapText="1"/>
    </xf>
    <xf numFmtId="0" fontId="2" fillId="0" borderId="0" xfId="0" applyFont="1"/>
    <xf numFmtId="0" fontId="11" fillId="13" borderId="1" xfId="0" applyFont="1" applyFill="1" applyBorder="1" applyAlignment="1">
      <alignment horizontal="center" vertical="center" textRotation="90" wrapText="1"/>
    </xf>
    <xf numFmtId="0" fontId="5" fillId="19" borderId="1" xfId="0" applyFont="1" applyFill="1" applyBorder="1" applyAlignment="1">
      <alignment horizontal="center" vertical="center" textRotation="90" wrapText="1"/>
    </xf>
    <xf numFmtId="0" fontId="5" fillId="20"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8" fillId="13" borderId="4" xfId="0" applyFont="1" applyFill="1" applyBorder="1" applyAlignment="1">
      <alignment horizontal="center" vertical="center" wrapText="1"/>
    </xf>
    <xf numFmtId="0" fontId="8" fillId="17" borderId="4" xfId="0" applyFont="1" applyFill="1" applyBorder="1" applyAlignment="1">
      <alignment horizontal="center" vertical="center" wrapText="1"/>
    </xf>
    <xf numFmtId="0" fontId="13" fillId="0" borderId="1" xfId="0" applyFont="1" applyBorder="1" applyAlignment="1">
      <alignment horizontal="left" vertical="center" wrapText="1"/>
    </xf>
  </cellXfs>
  <cellStyles count="1">
    <cellStyle name="Normal" xfId="0" builtinId="0"/>
  </cellStyles>
  <dxfs count="10">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9C0006"/>
      </font>
      <fill>
        <patternFill patternType="solid">
          <fgColor rgb="FFFFC7CE"/>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FFFFFF"/>
      </font>
      <fill>
        <patternFill patternType="solid">
          <fgColor rgb="FF00B050"/>
          <bgColor rgb="FF00B050"/>
        </patternFill>
      </fill>
    </dxf>
    <dxf>
      <font>
        <b/>
        <color rgb="FF595959"/>
      </font>
      <fill>
        <patternFill patternType="solid">
          <fgColor rgb="FFFFFF00"/>
          <bgColor rgb="FFFFFF00"/>
        </patternFill>
      </fill>
    </dxf>
    <dxf>
      <font>
        <b/>
        <color rgb="FFFFFFFF"/>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5"/>
  <sheetViews>
    <sheetView showGridLines="0" workbookViewId="0"/>
  </sheetViews>
  <sheetFormatPr defaultRowHeight="14.4" x14ac:dyDescent="0.3"/>
  <cols>
    <col min="1" max="1" width="2" customWidth="1"/>
    <col min="2" max="2" width="26" customWidth="1"/>
    <col min="3" max="3" width="16" customWidth="1"/>
    <col min="4" max="5" width="18" customWidth="1"/>
    <col min="6" max="6" width="20" customWidth="1"/>
    <col min="7" max="7" width="34" customWidth="1"/>
  </cols>
  <sheetData>
    <row r="2" spans="2:7" ht="34.049999999999997" customHeight="1" x14ac:dyDescent="0.3">
      <c r="B2" s="35" t="s">
        <v>0</v>
      </c>
      <c r="C2" s="34"/>
      <c r="D2" s="34"/>
      <c r="E2" s="34"/>
      <c r="F2" s="34"/>
      <c r="G2" s="34"/>
    </row>
    <row r="3" spans="2:7" ht="28.05" customHeight="1" x14ac:dyDescent="0.3">
      <c r="B3" s="33" t="s">
        <v>1</v>
      </c>
      <c r="C3" s="34"/>
      <c r="D3" s="34"/>
      <c r="E3" s="34"/>
      <c r="F3" s="34"/>
      <c r="G3" s="34"/>
    </row>
    <row r="5" spans="2:7" ht="22.05" customHeight="1" x14ac:dyDescent="0.3">
      <c r="B5" s="37" t="s">
        <v>2</v>
      </c>
      <c r="C5" s="34"/>
      <c r="D5" s="34"/>
      <c r="E5" s="34"/>
      <c r="F5" s="34"/>
      <c r="G5" s="34"/>
    </row>
    <row r="6" spans="2:7" ht="82.05" customHeight="1" x14ac:dyDescent="0.3">
      <c r="B6" s="38" t="s">
        <v>3</v>
      </c>
      <c r="C6" s="34"/>
      <c r="D6" s="34"/>
      <c r="E6" s="34"/>
      <c r="F6" s="34"/>
      <c r="G6" s="34"/>
    </row>
    <row r="7" spans="2:7" ht="22.05" customHeight="1" x14ac:dyDescent="0.3">
      <c r="B7" s="37" t="s">
        <v>4</v>
      </c>
      <c r="C7" s="34"/>
      <c r="D7" s="34"/>
      <c r="E7" s="34"/>
      <c r="F7" s="34"/>
      <c r="G7" s="34"/>
    </row>
    <row r="8" spans="2:7" ht="82.05" customHeight="1" x14ac:dyDescent="0.3">
      <c r="B8" s="38" t="s">
        <v>5</v>
      </c>
      <c r="C8" s="34"/>
      <c r="D8" s="34"/>
      <c r="E8" s="34"/>
      <c r="F8" s="34"/>
      <c r="G8" s="34"/>
    </row>
    <row r="9" spans="2:7" ht="22.05" customHeight="1" x14ac:dyDescent="0.3">
      <c r="B9" s="37" t="s">
        <v>6</v>
      </c>
      <c r="C9" s="34"/>
      <c r="D9" s="34"/>
      <c r="E9" s="34"/>
      <c r="F9" s="34"/>
      <c r="G9" s="34"/>
    </row>
    <row r="11" spans="2:7" ht="31.95" customHeight="1" x14ac:dyDescent="0.3">
      <c r="B11" s="1" t="s">
        <v>7</v>
      </c>
      <c r="C11" s="2" t="s">
        <v>8</v>
      </c>
      <c r="D11" s="2" t="s">
        <v>9</v>
      </c>
      <c r="E11" s="2" t="s">
        <v>10</v>
      </c>
      <c r="F11" s="2" t="s">
        <v>11</v>
      </c>
      <c r="G11" s="2" t="s">
        <v>12</v>
      </c>
    </row>
    <row r="12" spans="2:7" ht="31.95" customHeight="1" x14ac:dyDescent="0.3">
      <c r="B12" s="3" t="s">
        <v>13</v>
      </c>
      <c r="C12" s="4" t="s">
        <v>14</v>
      </c>
      <c r="D12" s="39" t="s">
        <v>15</v>
      </c>
      <c r="E12" s="40"/>
      <c r="F12" s="41"/>
      <c r="G12" s="4" t="s">
        <v>16</v>
      </c>
    </row>
    <row r="13" spans="2:7" ht="31.95" customHeight="1" x14ac:dyDescent="0.3">
      <c r="B13" s="5" t="s">
        <v>17</v>
      </c>
      <c r="C13" s="6" t="s">
        <v>18</v>
      </c>
      <c r="D13" s="6" t="s">
        <v>19</v>
      </c>
      <c r="E13" s="6" t="s">
        <v>20</v>
      </c>
      <c r="F13" s="6" t="s">
        <v>21</v>
      </c>
      <c r="G13" s="6" t="s">
        <v>22</v>
      </c>
    </row>
    <row r="14" spans="2:7" ht="31.95" customHeight="1" x14ac:dyDescent="0.3">
      <c r="B14" s="3" t="s">
        <v>23</v>
      </c>
      <c r="C14" s="4" t="s">
        <v>18</v>
      </c>
      <c r="D14" s="4" t="s">
        <v>24</v>
      </c>
      <c r="E14" s="4" t="s">
        <v>25</v>
      </c>
      <c r="F14" s="4" t="s">
        <v>26</v>
      </c>
      <c r="G14" s="4" t="s">
        <v>27</v>
      </c>
    </row>
    <row r="15" spans="2:7" ht="31.95" customHeight="1" x14ac:dyDescent="0.3">
      <c r="B15" s="5" t="s">
        <v>28</v>
      </c>
      <c r="C15" s="6" t="s">
        <v>18</v>
      </c>
      <c r="D15" s="6" t="s">
        <v>29</v>
      </c>
      <c r="E15" s="6" t="s">
        <v>30</v>
      </c>
      <c r="F15" s="6" t="s">
        <v>31</v>
      </c>
      <c r="G15" s="6" t="s">
        <v>32</v>
      </c>
    </row>
    <row r="16" spans="2:7" ht="31.95" customHeight="1" x14ac:dyDescent="0.3">
      <c r="B16" s="3" t="s">
        <v>33</v>
      </c>
      <c r="C16" s="4" t="s">
        <v>18</v>
      </c>
      <c r="D16" s="4" t="s">
        <v>34</v>
      </c>
      <c r="E16" s="4" t="s">
        <v>35</v>
      </c>
      <c r="F16" s="4" t="s">
        <v>36</v>
      </c>
      <c r="G16" s="4" t="s">
        <v>37</v>
      </c>
    </row>
    <row r="18" spans="2:7" ht="15.6" x14ac:dyDescent="0.3">
      <c r="B18" s="42" t="s">
        <v>38</v>
      </c>
      <c r="C18" s="34"/>
      <c r="D18" s="34"/>
      <c r="E18" s="34"/>
      <c r="F18" s="34"/>
      <c r="G18" s="34"/>
    </row>
    <row r="19" spans="2:7" x14ac:dyDescent="0.3">
      <c r="B19" s="8"/>
      <c r="C19" s="36" t="s">
        <v>39</v>
      </c>
      <c r="D19" s="34"/>
      <c r="E19" s="34"/>
      <c r="F19" s="34"/>
      <c r="G19" s="34"/>
    </row>
    <row r="20" spans="2:7" x14ac:dyDescent="0.3">
      <c r="B20" s="9"/>
      <c r="C20" s="36" t="s">
        <v>40</v>
      </c>
      <c r="D20" s="34"/>
      <c r="E20" s="34"/>
      <c r="F20" s="34"/>
      <c r="G20" s="34"/>
    </row>
    <row r="21" spans="2:7" x14ac:dyDescent="0.3">
      <c r="B21" s="10"/>
      <c r="C21" s="36" t="s">
        <v>41</v>
      </c>
      <c r="D21" s="34"/>
      <c r="E21" s="34"/>
      <c r="F21" s="34"/>
      <c r="G21" s="34"/>
    </row>
    <row r="23" spans="2:7" x14ac:dyDescent="0.3">
      <c r="B23" s="38" t="s">
        <v>42</v>
      </c>
      <c r="C23" s="34"/>
      <c r="D23" s="34"/>
      <c r="E23" s="34"/>
      <c r="F23" s="34"/>
      <c r="G23" s="34"/>
    </row>
    <row r="24" spans="2:7" x14ac:dyDescent="0.3">
      <c r="B24" s="34"/>
      <c r="C24" s="34"/>
      <c r="D24" s="34"/>
      <c r="E24" s="34"/>
      <c r="F24" s="34"/>
      <c r="G24" s="34"/>
    </row>
    <row r="25" spans="2:7" x14ac:dyDescent="0.3">
      <c r="B25" s="34"/>
      <c r="C25" s="34"/>
      <c r="D25" s="34"/>
      <c r="E25" s="34"/>
      <c r="F25" s="34"/>
      <c r="G25" s="34"/>
    </row>
  </sheetData>
  <mergeCells count="13">
    <mergeCell ref="B23:G25"/>
    <mergeCell ref="B18:G18"/>
    <mergeCell ref="B7:G7"/>
    <mergeCell ref="B6:G6"/>
    <mergeCell ref="B3:G3"/>
    <mergeCell ref="B2:G2"/>
    <mergeCell ref="C21:G21"/>
    <mergeCell ref="C20:G20"/>
    <mergeCell ref="B5:G5"/>
    <mergeCell ref="B9:G9"/>
    <mergeCell ref="B8:G8"/>
    <mergeCell ref="D12:F12"/>
    <mergeCell ref="C19:G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25"/>
  <sheetViews>
    <sheetView showGridLines="0" tabSelected="1" zoomScale="85" workbookViewId="0">
      <pane xSplit="2" ySplit="7" topLeftCell="C8" activePane="bottomRight" state="frozen"/>
      <selection pane="topRight"/>
      <selection pane="bottomLeft"/>
      <selection pane="bottomRight" activeCell="B15" sqref="A15:XFD15"/>
    </sheetView>
  </sheetViews>
  <sheetFormatPr defaultRowHeight="14.4" x14ac:dyDescent="0.3"/>
  <cols>
    <col min="1" max="1" width="16" customWidth="1"/>
    <col min="2" max="2" width="30" customWidth="1"/>
    <col min="3" max="19" width="7.44140625" customWidth="1"/>
    <col min="20" max="22" width="12" customWidth="1"/>
  </cols>
  <sheetData>
    <row r="1" spans="1:22" ht="31.95" customHeight="1" x14ac:dyDescent="0.3">
      <c r="A1" s="35" t="s">
        <v>0</v>
      </c>
      <c r="B1" s="34"/>
      <c r="C1" s="34"/>
      <c r="D1" s="34"/>
      <c r="E1" s="34"/>
      <c r="F1" s="34"/>
      <c r="G1" s="34"/>
      <c r="H1" s="34"/>
      <c r="I1" s="34"/>
      <c r="J1" s="34"/>
      <c r="K1" s="34"/>
      <c r="L1" s="34"/>
      <c r="M1" s="34"/>
      <c r="N1" s="34"/>
      <c r="O1" s="34"/>
      <c r="P1" s="34"/>
      <c r="Q1" s="34"/>
      <c r="R1" s="34"/>
      <c r="S1" s="34"/>
      <c r="T1" s="34"/>
      <c r="U1" s="34"/>
      <c r="V1" s="34"/>
    </row>
    <row r="2" spans="1:22" x14ac:dyDescent="0.3">
      <c r="A2" s="11" t="s">
        <v>43</v>
      </c>
      <c r="B2" s="51" t="s">
        <v>44</v>
      </c>
      <c r="C2" s="34"/>
      <c r="D2" s="34"/>
      <c r="E2" s="34"/>
      <c r="F2" s="34"/>
      <c r="G2" s="34"/>
      <c r="H2" s="34"/>
      <c r="P2" s="11" t="s">
        <v>45</v>
      </c>
      <c r="Q2" s="51" t="s">
        <v>44</v>
      </c>
      <c r="R2" s="34"/>
      <c r="S2" s="34"/>
      <c r="T2" s="34"/>
      <c r="U2" s="34"/>
      <c r="V2" s="34"/>
    </row>
    <row r="4" spans="1:22" x14ac:dyDescent="0.3">
      <c r="A4" s="53" t="s">
        <v>46</v>
      </c>
      <c r="B4" s="54" t="s">
        <v>47</v>
      </c>
      <c r="C4" s="47" t="s">
        <v>48</v>
      </c>
      <c r="D4" s="34"/>
      <c r="E4" s="34"/>
      <c r="F4" s="34"/>
      <c r="G4" s="34"/>
      <c r="H4" s="34"/>
      <c r="I4" s="34"/>
      <c r="J4" s="34"/>
      <c r="K4" s="34"/>
      <c r="L4" s="34"/>
      <c r="M4" s="34"/>
      <c r="N4" s="34"/>
      <c r="O4" s="34"/>
      <c r="P4" s="34"/>
      <c r="Q4" s="34"/>
      <c r="R4" s="34"/>
      <c r="S4" s="34"/>
      <c r="T4" s="44" t="s">
        <v>49</v>
      </c>
      <c r="U4" s="44" t="s">
        <v>50</v>
      </c>
      <c r="V4" s="44" t="s">
        <v>51</v>
      </c>
    </row>
    <row r="5" spans="1:22" ht="19.95" customHeight="1" x14ac:dyDescent="0.3">
      <c r="A5" s="34"/>
      <c r="B5" s="34"/>
      <c r="C5" s="45" t="s">
        <v>52</v>
      </c>
      <c r="D5" s="34"/>
      <c r="E5" s="34"/>
      <c r="F5" s="34"/>
      <c r="G5" s="34"/>
      <c r="H5" s="34"/>
      <c r="I5" s="34"/>
      <c r="J5" s="34"/>
      <c r="K5" s="49" t="s">
        <v>53</v>
      </c>
      <c r="L5" s="34"/>
      <c r="M5" s="34"/>
      <c r="N5" s="34"/>
      <c r="O5" s="43" t="s">
        <v>54</v>
      </c>
      <c r="P5" s="34"/>
      <c r="Q5" s="34"/>
      <c r="R5" s="55" t="s">
        <v>55</v>
      </c>
      <c r="S5" s="34"/>
      <c r="T5" s="34"/>
      <c r="U5" s="34"/>
      <c r="V5" s="34"/>
    </row>
    <row r="6" spans="1:22" ht="19.95" customHeight="1" x14ac:dyDescent="0.3">
      <c r="A6" s="34"/>
      <c r="B6" s="34"/>
      <c r="C6" s="48" t="s">
        <v>56</v>
      </c>
      <c r="D6" s="34"/>
      <c r="E6" s="34"/>
      <c r="F6" s="48" t="s">
        <v>57</v>
      </c>
      <c r="G6" s="34"/>
      <c r="H6" s="34"/>
      <c r="I6" s="48" t="s">
        <v>58</v>
      </c>
      <c r="J6" s="48" t="s">
        <v>59</v>
      </c>
      <c r="K6" s="48" t="s">
        <v>60</v>
      </c>
      <c r="L6" s="34"/>
      <c r="M6" s="48" t="s">
        <v>61</v>
      </c>
      <c r="N6" s="34"/>
      <c r="O6" s="48" t="s">
        <v>62</v>
      </c>
      <c r="P6" s="34"/>
      <c r="Q6" s="34"/>
      <c r="R6" s="48" t="s">
        <v>63</v>
      </c>
      <c r="S6" s="34"/>
      <c r="T6" s="34"/>
      <c r="U6" s="34"/>
      <c r="V6" s="34"/>
    </row>
    <row r="7" spans="1:22" ht="75.599999999999994" customHeight="1" x14ac:dyDescent="0.3">
      <c r="A7" s="34"/>
      <c r="B7" s="34"/>
      <c r="C7" s="13" t="s">
        <v>64</v>
      </c>
      <c r="D7" s="13" t="s">
        <v>65</v>
      </c>
      <c r="E7" s="13" t="s">
        <v>66</v>
      </c>
      <c r="F7" s="13" t="s">
        <v>67</v>
      </c>
      <c r="G7" s="13" t="s">
        <v>68</v>
      </c>
      <c r="H7" s="13" t="s">
        <v>69</v>
      </c>
      <c r="I7" s="13" t="s">
        <v>70</v>
      </c>
      <c r="J7" s="13" t="s">
        <v>71</v>
      </c>
      <c r="K7" s="14" t="s">
        <v>72</v>
      </c>
      <c r="L7" s="14" t="s">
        <v>73</v>
      </c>
      <c r="M7" s="14" t="s">
        <v>74</v>
      </c>
      <c r="N7" s="14" t="s">
        <v>75</v>
      </c>
      <c r="O7" s="15" t="s">
        <v>76</v>
      </c>
      <c r="P7" s="15" t="s">
        <v>77</v>
      </c>
      <c r="Q7" s="15" t="s">
        <v>78</v>
      </c>
      <c r="R7" s="16" t="s">
        <v>79</v>
      </c>
      <c r="S7" s="16" t="s">
        <v>80</v>
      </c>
      <c r="T7" s="34"/>
      <c r="U7" s="34"/>
      <c r="V7" s="34"/>
    </row>
    <row r="8" spans="1:22" ht="22.05" customHeight="1" x14ac:dyDescent="0.3">
      <c r="A8" s="52" t="s">
        <v>81</v>
      </c>
      <c r="B8" s="17" t="s">
        <v>82</v>
      </c>
      <c r="C8" s="18">
        <f>'Memoria de Calculo'!C10</f>
        <v>-7</v>
      </c>
      <c r="D8" s="18">
        <f>'Memoria de Calculo'!D10</f>
        <v>-9</v>
      </c>
      <c r="E8" s="18">
        <f>'Memoria de Calculo'!E10</f>
        <v>-11</v>
      </c>
      <c r="F8" s="18">
        <f>'Memoria de Calculo'!F10</f>
        <v>-7</v>
      </c>
      <c r="G8" s="19">
        <f>'Memoria de Calculo'!G10</f>
        <v>0</v>
      </c>
      <c r="H8" s="18">
        <f>'Memoria de Calculo'!H10</f>
        <v>-4</v>
      </c>
      <c r="I8" s="19">
        <f>'Memoria de Calculo'!I10</f>
        <v>0</v>
      </c>
      <c r="J8" s="18">
        <f>'Memoria de Calculo'!J10</f>
        <v>-10</v>
      </c>
      <c r="K8" s="18">
        <f>'Memoria de Calculo'!K10</f>
        <v>-4</v>
      </c>
      <c r="L8" s="18">
        <f>'Memoria de Calculo'!L10</f>
        <v>-6</v>
      </c>
      <c r="M8" s="18">
        <f>'Memoria de Calculo'!M10</f>
        <v>-8</v>
      </c>
      <c r="N8" s="18">
        <f>'Memoria de Calculo'!N10</f>
        <v>-5</v>
      </c>
      <c r="O8" s="19">
        <f>'Memoria de Calculo'!O10</f>
        <v>0</v>
      </c>
      <c r="P8" s="19">
        <f>'Memoria de Calculo'!P10</f>
        <v>0</v>
      </c>
      <c r="Q8" s="19">
        <f>'Memoria de Calculo'!Q10</f>
        <v>0</v>
      </c>
      <c r="R8" s="18">
        <f>'Memoria de Calculo'!R10</f>
        <v>-6</v>
      </c>
      <c r="S8" s="18">
        <f>'Memoria de Calculo'!S10</f>
        <v>-6</v>
      </c>
      <c r="T8" s="20">
        <f t="shared" ref="T8:T15" si="0">SUM(C8:S8)</f>
        <v>-83</v>
      </c>
      <c r="U8" s="20">
        <f t="shared" ref="U8:U15" si="1">COUNTIF(C8:S8,"&lt;0")</f>
        <v>12</v>
      </c>
      <c r="V8" s="20">
        <f t="shared" ref="V8:V15" si="2">COUNTIF(C8:S8,"&gt;0")</f>
        <v>0</v>
      </c>
    </row>
    <row r="9" spans="1:22" ht="22.05" customHeight="1" x14ac:dyDescent="0.3">
      <c r="A9" s="34"/>
      <c r="B9" s="17" t="s">
        <v>83</v>
      </c>
      <c r="C9" s="18">
        <f>'Memoria de Calculo'!C16</f>
        <v>-10</v>
      </c>
      <c r="D9" s="18">
        <f>'Memoria de Calculo'!D16</f>
        <v>-5</v>
      </c>
      <c r="E9" s="18">
        <f>'Memoria de Calculo'!E16</f>
        <v>-10</v>
      </c>
      <c r="F9" s="18">
        <f>'Memoria de Calculo'!F16</f>
        <v>-8</v>
      </c>
      <c r="G9" s="19">
        <f>'Memoria de Calculo'!G16</f>
        <v>0</v>
      </c>
      <c r="H9" s="18">
        <f>'Memoria de Calculo'!H16</f>
        <v>-8</v>
      </c>
      <c r="I9" s="19">
        <f>'Memoria de Calculo'!I16</f>
        <v>0</v>
      </c>
      <c r="J9" s="18">
        <f>'Memoria de Calculo'!J16</f>
        <v>-10</v>
      </c>
      <c r="K9" s="18">
        <f>'Memoria de Calculo'!K16</f>
        <v>-5</v>
      </c>
      <c r="L9" s="18">
        <f>'Memoria de Calculo'!L16</f>
        <v>-5</v>
      </c>
      <c r="M9" s="18">
        <f>'Memoria de Calculo'!M16</f>
        <v>-4</v>
      </c>
      <c r="N9" s="18">
        <f>'Memoria de Calculo'!N16</f>
        <v>-4</v>
      </c>
      <c r="O9" s="19">
        <f>'Memoria de Calculo'!O16</f>
        <v>0</v>
      </c>
      <c r="P9" s="19">
        <f>'Memoria de Calculo'!P16</f>
        <v>0</v>
      </c>
      <c r="Q9" s="19">
        <f>'Memoria de Calculo'!Q16</f>
        <v>0</v>
      </c>
      <c r="R9" s="19">
        <f>'Memoria de Calculo'!R16</f>
        <v>0</v>
      </c>
      <c r="S9" s="19">
        <f>'Memoria de Calculo'!S16</f>
        <v>0</v>
      </c>
      <c r="T9" s="20">
        <f t="shared" si="0"/>
        <v>-69</v>
      </c>
      <c r="U9" s="20">
        <f t="shared" si="1"/>
        <v>10</v>
      </c>
      <c r="V9" s="20">
        <f t="shared" si="2"/>
        <v>0</v>
      </c>
    </row>
    <row r="10" spans="1:22" ht="22.05" customHeight="1" x14ac:dyDescent="0.3">
      <c r="A10" s="34"/>
      <c r="B10" s="17" t="s">
        <v>84</v>
      </c>
      <c r="C10" s="19">
        <f>'Memoria de Calculo'!C22</f>
        <v>0</v>
      </c>
      <c r="D10" s="19">
        <f>'Memoria de Calculo'!D22</f>
        <v>0</v>
      </c>
      <c r="E10" s="19">
        <f>'Memoria de Calculo'!E22</f>
        <v>0</v>
      </c>
      <c r="F10" s="18">
        <f>'Memoria de Calculo'!F22</f>
        <v>-9</v>
      </c>
      <c r="G10" s="19">
        <f>'Memoria de Calculo'!G22</f>
        <v>0</v>
      </c>
      <c r="H10" s="18">
        <f>'Memoria de Calculo'!H22</f>
        <v>-9</v>
      </c>
      <c r="I10" s="19">
        <f>'Memoria de Calculo'!I22</f>
        <v>0</v>
      </c>
      <c r="J10" s="19">
        <f>'Memoria de Calculo'!J22</f>
        <v>0</v>
      </c>
      <c r="K10" s="18">
        <f>'Memoria de Calculo'!K22</f>
        <v>-4</v>
      </c>
      <c r="L10" s="18">
        <f>'Memoria de Calculo'!L22</f>
        <v>-4</v>
      </c>
      <c r="M10" s="18">
        <f>'Memoria de Calculo'!M22</f>
        <v>-4</v>
      </c>
      <c r="N10" s="18">
        <f>'Memoria de Calculo'!N22</f>
        <v>-4</v>
      </c>
      <c r="O10" s="19">
        <f>'Memoria de Calculo'!O22</f>
        <v>0</v>
      </c>
      <c r="P10" s="19">
        <f>'Memoria de Calculo'!P22</f>
        <v>0</v>
      </c>
      <c r="Q10" s="19">
        <f>'Memoria de Calculo'!Q22</f>
        <v>0</v>
      </c>
      <c r="R10" s="18">
        <f>'Memoria de Calculo'!R22</f>
        <v>-4</v>
      </c>
      <c r="S10" s="19">
        <f>'Memoria de Calculo'!S22</f>
        <v>0</v>
      </c>
      <c r="T10" s="20">
        <f t="shared" si="0"/>
        <v>-38</v>
      </c>
      <c r="U10" s="20">
        <f t="shared" si="1"/>
        <v>7</v>
      </c>
      <c r="V10" s="20">
        <f t="shared" si="2"/>
        <v>0</v>
      </c>
    </row>
    <row r="11" spans="1:22" ht="22.05" customHeight="1" x14ac:dyDescent="0.3">
      <c r="A11" s="34"/>
      <c r="B11" s="17" t="s">
        <v>85</v>
      </c>
      <c r="C11" s="19">
        <f>'Memoria de Calculo'!C28</f>
        <v>0</v>
      </c>
      <c r="D11" s="18">
        <f>'Memoria de Calculo'!D28</f>
        <v>-9</v>
      </c>
      <c r="E11" s="19">
        <f>'Memoria de Calculo'!E28</f>
        <v>0</v>
      </c>
      <c r="F11" s="18">
        <f>'Memoria de Calculo'!F28</f>
        <v>-9</v>
      </c>
      <c r="G11" s="19">
        <f>'Memoria de Calculo'!G28</f>
        <v>0</v>
      </c>
      <c r="H11" s="18">
        <f>'Memoria de Calculo'!H28</f>
        <v>-9</v>
      </c>
      <c r="I11" s="19">
        <f>'Memoria de Calculo'!I28</f>
        <v>0</v>
      </c>
      <c r="J11" s="18">
        <f>'Memoria de Calculo'!J28</f>
        <v>-8</v>
      </c>
      <c r="K11" s="18">
        <f>'Memoria de Calculo'!K28</f>
        <v>-6</v>
      </c>
      <c r="L11" s="18">
        <f>'Memoria de Calculo'!L28</f>
        <v>-6</v>
      </c>
      <c r="M11" s="19">
        <f>'Memoria de Calculo'!M28</f>
        <v>0</v>
      </c>
      <c r="N11" s="19">
        <f>'Memoria de Calculo'!N28</f>
        <v>0</v>
      </c>
      <c r="O11" s="19">
        <f>'Memoria de Calculo'!O28</f>
        <v>0</v>
      </c>
      <c r="P11" s="19">
        <f>'Memoria de Calculo'!P28</f>
        <v>0</v>
      </c>
      <c r="Q11" s="19">
        <f>'Memoria de Calculo'!Q28</f>
        <v>0</v>
      </c>
      <c r="R11" s="19">
        <f>'Memoria de Calculo'!R28</f>
        <v>0</v>
      </c>
      <c r="S11" s="19">
        <f>'Memoria de Calculo'!S28</f>
        <v>0</v>
      </c>
      <c r="T11" s="20">
        <f t="shared" si="0"/>
        <v>-47</v>
      </c>
      <c r="U11" s="20">
        <f t="shared" si="1"/>
        <v>6</v>
      </c>
      <c r="V11" s="20">
        <f t="shared" si="2"/>
        <v>0</v>
      </c>
    </row>
    <row r="12" spans="1:22" ht="22.05" customHeight="1" x14ac:dyDescent="0.3">
      <c r="A12" s="34"/>
      <c r="B12" s="17" t="s">
        <v>86</v>
      </c>
      <c r="C12" s="19">
        <f>'Memoria de Calculo'!C34</f>
        <v>0</v>
      </c>
      <c r="D12" s="18">
        <f>'Memoria de Calculo'!D34</f>
        <v>-10</v>
      </c>
      <c r="E12" s="19">
        <f>'Memoria de Calculo'!E34</f>
        <v>0</v>
      </c>
      <c r="F12" s="18">
        <f>'Memoria de Calculo'!F34</f>
        <v>-10</v>
      </c>
      <c r="G12" s="19">
        <f>'Memoria de Calculo'!G34</f>
        <v>0</v>
      </c>
      <c r="H12" s="18">
        <f>'Memoria de Calculo'!H34</f>
        <v>-10</v>
      </c>
      <c r="I12" s="19">
        <f>'Memoria de Calculo'!I34</f>
        <v>0</v>
      </c>
      <c r="J12" s="18">
        <f>'Memoria de Calculo'!J34</f>
        <v>-8</v>
      </c>
      <c r="K12" s="18">
        <f>'Memoria de Calculo'!K34</f>
        <v>-4</v>
      </c>
      <c r="L12" s="18">
        <f>'Memoria de Calculo'!L34</f>
        <v>-4</v>
      </c>
      <c r="M12" s="19">
        <f>'Memoria de Calculo'!M34</f>
        <v>0</v>
      </c>
      <c r="N12" s="18">
        <f>'Memoria de Calculo'!N34</f>
        <v>-4</v>
      </c>
      <c r="O12" s="19">
        <f>'Memoria de Calculo'!O34</f>
        <v>0</v>
      </c>
      <c r="P12" s="21">
        <f>'Memoria de Calculo'!P34</f>
        <v>5</v>
      </c>
      <c r="Q12" s="19">
        <f>'Memoria de Calculo'!Q34</f>
        <v>0</v>
      </c>
      <c r="R12" s="19">
        <f>'Memoria de Calculo'!R34</f>
        <v>0</v>
      </c>
      <c r="S12" s="19">
        <f>'Memoria de Calculo'!S34</f>
        <v>0</v>
      </c>
      <c r="T12" s="20">
        <f t="shared" si="0"/>
        <v>-45</v>
      </c>
      <c r="U12" s="20">
        <f t="shared" si="1"/>
        <v>7</v>
      </c>
      <c r="V12" s="20">
        <f t="shared" si="2"/>
        <v>1</v>
      </c>
    </row>
    <row r="13" spans="1:22" ht="22.05" customHeight="1" x14ac:dyDescent="0.3">
      <c r="A13" s="34"/>
      <c r="B13" s="17" t="s">
        <v>87</v>
      </c>
      <c r="C13" s="19">
        <f>'Memoria de Calculo'!C40</f>
        <v>0</v>
      </c>
      <c r="D13" s="19">
        <f>'Memoria de Calculo'!D40</f>
        <v>0</v>
      </c>
      <c r="E13" s="19">
        <f>'Memoria de Calculo'!E40</f>
        <v>0</v>
      </c>
      <c r="F13" s="19">
        <f>'Memoria de Calculo'!F40</f>
        <v>0</v>
      </c>
      <c r="G13" s="19">
        <f>'Memoria de Calculo'!G40</f>
        <v>0</v>
      </c>
      <c r="H13" s="19">
        <f>'Memoria de Calculo'!H40</f>
        <v>0</v>
      </c>
      <c r="I13" s="19">
        <f>'Memoria de Calculo'!I40</f>
        <v>0</v>
      </c>
      <c r="J13" s="19">
        <f>'Memoria de Calculo'!J40</f>
        <v>0</v>
      </c>
      <c r="K13" s="19">
        <f>'Memoria de Calculo'!K40</f>
        <v>0</v>
      </c>
      <c r="L13" s="19">
        <f>'Memoria de Calculo'!L40</f>
        <v>0</v>
      </c>
      <c r="M13" s="18">
        <f>'Memoria de Calculo'!M40</f>
        <v>-4</v>
      </c>
      <c r="N13" s="18">
        <f>'Memoria de Calculo'!N40</f>
        <v>-5</v>
      </c>
      <c r="O13" s="18">
        <f>'Memoria de Calculo'!O40</f>
        <v>-4</v>
      </c>
      <c r="P13" s="19">
        <f>'Memoria de Calculo'!P40</f>
        <v>0</v>
      </c>
      <c r="Q13" s="19">
        <f>'Memoria de Calculo'!Q40</f>
        <v>0</v>
      </c>
      <c r="R13" s="19">
        <f>'Memoria de Calculo'!R40</f>
        <v>0</v>
      </c>
      <c r="S13" s="19">
        <f>'Memoria de Calculo'!S40</f>
        <v>0</v>
      </c>
      <c r="T13" s="20">
        <f t="shared" si="0"/>
        <v>-13</v>
      </c>
      <c r="U13" s="20">
        <f t="shared" si="1"/>
        <v>3</v>
      </c>
      <c r="V13" s="20">
        <f t="shared" si="2"/>
        <v>0</v>
      </c>
    </row>
    <row r="14" spans="1:22" ht="22.05" customHeight="1" x14ac:dyDescent="0.3">
      <c r="A14" s="50" t="s">
        <v>88</v>
      </c>
      <c r="B14" s="22" t="s">
        <v>89</v>
      </c>
      <c r="C14" s="19">
        <f>'Memoria de Calculo'!C46</f>
        <v>0</v>
      </c>
      <c r="D14" s="19">
        <f>'Memoria de Calculo'!D46</f>
        <v>0</v>
      </c>
      <c r="E14" s="18">
        <f>'Memoria de Calculo'!E46</f>
        <v>-5</v>
      </c>
      <c r="F14" s="18">
        <f>'Memoria de Calculo'!F46</f>
        <v>-5</v>
      </c>
      <c r="G14" s="19">
        <f>'Memoria de Calculo'!G46</f>
        <v>0</v>
      </c>
      <c r="H14" s="18">
        <f>'Memoria de Calculo'!H46</f>
        <v>-10</v>
      </c>
      <c r="I14" s="19">
        <f>'Memoria de Calculo'!I46</f>
        <v>0</v>
      </c>
      <c r="J14" s="21">
        <f>'Memoria de Calculo'!J46</f>
        <v>6</v>
      </c>
      <c r="K14" s="19">
        <f>'Memoria de Calculo'!K46</f>
        <v>0</v>
      </c>
      <c r="L14" s="19">
        <f>'Memoria de Calculo'!L46</f>
        <v>0</v>
      </c>
      <c r="M14" s="19">
        <f>'Memoria de Calculo'!M46</f>
        <v>0</v>
      </c>
      <c r="N14" s="18">
        <f>'Memoria de Calculo'!N46</f>
        <v>-4</v>
      </c>
      <c r="O14" s="19">
        <f>'Memoria de Calculo'!O46</f>
        <v>0</v>
      </c>
      <c r="P14" s="21">
        <f>'Memoria de Calculo'!P46</f>
        <v>5</v>
      </c>
      <c r="Q14" s="19">
        <f>'Memoria de Calculo'!Q46</f>
        <v>0</v>
      </c>
      <c r="R14" s="18">
        <f>'Memoria de Calculo'!R46</f>
        <v>-4</v>
      </c>
      <c r="S14" s="19">
        <f>'Memoria de Calculo'!S46</f>
        <v>0</v>
      </c>
      <c r="T14" s="20">
        <f t="shared" si="0"/>
        <v>-17</v>
      </c>
      <c r="U14" s="20">
        <f t="shared" si="1"/>
        <v>5</v>
      </c>
      <c r="V14" s="20">
        <f t="shared" si="2"/>
        <v>2</v>
      </c>
    </row>
    <row r="15" spans="1:22" ht="40.799999999999997" customHeight="1" x14ac:dyDescent="0.3">
      <c r="A15" s="34"/>
      <c r="B15" s="22" t="s">
        <v>90</v>
      </c>
      <c r="C15" s="19">
        <f>'Memoria de Calculo'!C52</f>
        <v>0</v>
      </c>
      <c r="D15" s="18">
        <f>'Memoria de Calculo'!D52</f>
        <v>-5</v>
      </c>
      <c r="E15" s="18">
        <f>'Memoria de Calculo'!E52</f>
        <v>-9</v>
      </c>
      <c r="F15" s="18">
        <f>'Memoria de Calculo'!F52</f>
        <v>-7</v>
      </c>
      <c r="G15" s="19">
        <f>'Memoria de Calculo'!G52</f>
        <v>0</v>
      </c>
      <c r="H15" s="18">
        <f>'Memoria de Calculo'!H52</f>
        <v>-5</v>
      </c>
      <c r="I15" s="19">
        <f>'Memoria de Calculo'!I52</f>
        <v>0</v>
      </c>
      <c r="J15" s="18">
        <f>'Memoria de Calculo'!J52</f>
        <v>-9</v>
      </c>
      <c r="K15" s="18">
        <f>'Memoria de Calculo'!K52</f>
        <v>-5</v>
      </c>
      <c r="L15" s="18">
        <f>'Memoria de Calculo'!L52</f>
        <v>-6</v>
      </c>
      <c r="M15" s="19">
        <f>'Memoria de Calculo'!M52</f>
        <v>0</v>
      </c>
      <c r="N15" s="18">
        <f>'Memoria de Calculo'!N52</f>
        <v>-4</v>
      </c>
      <c r="O15" s="19">
        <f>'Memoria de Calculo'!O52</f>
        <v>0</v>
      </c>
      <c r="P15" s="21">
        <f>'Memoria de Calculo'!P52</f>
        <v>5</v>
      </c>
      <c r="Q15" s="19">
        <f>'Memoria de Calculo'!Q52</f>
        <v>0</v>
      </c>
      <c r="R15" s="18">
        <f>'Memoria de Calculo'!R52</f>
        <v>-4</v>
      </c>
      <c r="S15" s="18">
        <f>'Memoria de Calculo'!S52</f>
        <v>-4</v>
      </c>
      <c r="T15" s="20">
        <f t="shared" si="0"/>
        <v>-53</v>
      </c>
      <c r="U15" s="20">
        <f t="shared" si="1"/>
        <v>10</v>
      </c>
      <c r="V15" s="20">
        <f t="shared" si="2"/>
        <v>1</v>
      </c>
    </row>
    <row r="16" spans="1:22" ht="19.95" customHeight="1" x14ac:dyDescent="0.3">
      <c r="A16" s="46" t="s">
        <v>91</v>
      </c>
      <c r="B16" s="34"/>
      <c r="C16" s="23">
        <f>SUM(C8:C15)</f>
        <v>-17</v>
      </c>
      <c r="D16" s="23">
        <f>SUM(D8:D15)</f>
        <v>-38</v>
      </c>
      <c r="E16" s="23">
        <f>SUM(E8:E15)</f>
        <v>-35</v>
      </c>
      <c r="F16" s="23">
        <f>SUM(F8:F15)</f>
        <v>-55</v>
      </c>
      <c r="G16" s="23">
        <f>SUM(G8:G15)</f>
        <v>0</v>
      </c>
      <c r="H16" s="23">
        <f>SUM(H8:H15)</f>
        <v>-55</v>
      </c>
      <c r="I16" s="23">
        <f>SUM(I8:I15)</f>
        <v>0</v>
      </c>
      <c r="J16" s="23">
        <f>SUM(J8:J15)</f>
        <v>-39</v>
      </c>
      <c r="K16" s="23">
        <f>SUM(K8:K15)</f>
        <v>-28</v>
      </c>
      <c r="L16" s="23">
        <f>SUM(L8:L15)</f>
        <v>-31</v>
      </c>
      <c r="M16" s="23">
        <f>SUM(M8:M15)</f>
        <v>-20</v>
      </c>
      <c r="N16" s="23">
        <f>SUM(N8:N15)</f>
        <v>-30</v>
      </c>
      <c r="O16" s="23">
        <f>SUM(O8:O15)</f>
        <v>-4</v>
      </c>
      <c r="P16" s="23">
        <f>SUM(P8:P15)</f>
        <v>15</v>
      </c>
      <c r="Q16" s="23">
        <f>SUM(Q8:Q15)</f>
        <v>0</v>
      </c>
      <c r="R16" s="23">
        <f>SUM(R8:R15)</f>
        <v>-18</v>
      </c>
      <c r="S16" s="23">
        <f>SUM(S8:S15)</f>
        <v>-10</v>
      </c>
      <c r="T16" s="12">
        <f>SUM(T8:T15)</f>
        <v>-365</v>
      </c>
      <c r="U16" s="24"/>
      <c r="V16" s="24"/>
    </row>
    <row r="17" spans="1:22" ht="19.95" customHeight="1" x14ac:dyDescent="0.3">
      <c r="A17" s="46" t="s">
        <v>50</v>
      </c>
      <c r="B17" s="34"/>
      <c r="C17" s="23">
        <f>COUNTIF(C8:C15,"&lt;0")</f>
        <v>2</v>
      </c>
      <c r="D17" s="23">
        <f>COUNTIF(D8:D15,"&lt;0")</f>
        <v>5</v>
      </c>
      <c r="E17" s="23">
        <f>COUNTIF(E8:E15,"&lt;0")</f>
        <v>4</v>
      </c>
      <c r="F17" s="23">
        <f>COUNTIF(F8:F15,"&lt;0")</f>
        <v>7</v>
      </c>
      <c r="G17" s="23">
        <f>COUNTIF(G8:G15,"&lt;0")</f>
        <v>0</v>
      </c>
      <c r="H17" s="23">
        <f>COUNTIF(H8:H15,"&lt;0")</f>
        <v>7</v>
      </c>
      <c r="I17" s="23">
        <f>COUNTIF(I8:I15,"&lt;0")</f>
        <v>0</v>
      </c>
      <c r="J17" s="23">
        <f>COUNTIF(J8:J15,"&lt;0")</f>
        <v>5</v>
      </c>
      <c r="K17" s="23">
        <f>COUNTIF(K8:K15,"&lt;0")</f>
        <v>6</v>
      </c>
      <c r="L17" s="23">
        <f>COUNTIF(L8:L15,"&lt;0")</f>
        <v>6</v>
      </c>
      <c r="M17" s="23">
        <f>COUNTIF(M8:M15,"&lt;0")</f>
        <v>4</v>
      </c>
      <c r="N17" s="23">
        <f>COUNTIF(N8:N15,"&lt;0")</f>
        <v>7</v>
      </c>
      <c r="O17" s="23">
        <f>COUNTIF(O8:O15,"&lt;0")</f>
        <v>1</v>
      </c>
      <c r="P17" s="23">
        <f>COUNTIF(P8:P15,"&lt;0")</f>
        <v>0</v>
      </c>
      <c r="Q17" s="23">
        <f>COUNTIF(Q8:Q15,"&lt;0")</f>
        <v>0</v>
      </c>
      <c r="R17" s="23">
        <f>COUNTIF(R8:R15,"&lt;0")</f>
        <v>4</v>
      </c>
      <c r="S17" s="23">
        <f>COUNTIF(S8:S15,"&lt;0")</f>
        <v>2</v>
      </c>
      <c r="T17" s="23"/>
      <c r="U17" s="24"/>
      <c r="V17" s="24"/>
    </row>
    <row r="18" spans="1:22" ht="19.95" customHeight="1" x14ac:dyDescent="0.3">
      <c r="A18" s="46" t="s">
        <v>51</v>
      </c>
      <c r="B18" s="34"/>
      <c r="C18" s="23">
        <f>COUNTIF(C8:C15,"&gt;0")</f>
        <v>0</v>
      </c>
      <c r="D18" s="23">
        <f>COUNTIF(D8:D15,"&gt;0")</f>
        <v>0</v>
      </c>
      <c r="E18" s="23">
        <f>COUNTIF(E8:E15,"&gt;0")</f>
        <v>0</v>
      </c>
      <c r="F18" s="23">
        <f>COUNTIF(F8:F15,"&gt;0")</f>
        <v>0</v>
      </c>
      <c r="G18" s="23">
        <f>COUNTIF(G8:G15,"&gt;0")</f>
        <v>0</v>
      </c>
      <c r="H18" s="23">
        <f>COUNTIF(H8:H15,"&gt;0")</f>
        <v>0</v>
      </c>
      <c r="I18" s="23">
        <f>COUNTIF(I8:I15,"&gt;0")</f>
        <v>0</v>
      </c>
      <c r="J18" s="23">
        <f>COUNTIF(J8:J15,"&gt;0")</f>
        <v>1</v>
      </c>
      <c r="K18" s="23">
        <f>COUNTIF(K8:K15,"&gt;0")</f>
        <v>0</v>
      </c>
      <c r="L18" s="23">
        <f>COUNTIF(L8:L15,"&gt;0")</f>
        <v>0</v>
      </c>
      <c r="M18" s="23">
        <f>COUNTIF(M8:M15,"&gt;0")</f>
        <v>0</v>
      </c>
      <c r="N18" s="23">
        <f>COUNTIF(N8:N15,"&gt;0")</f>
        <v>0</v>
      </c>
      <c r="O18" s="23">
        <f>COUNTIF(O8:O15,"&gt;0")</f>
        <v>0</v>
      </c>
      <c r="P18" s="23">
        <f>COUNTIF(P8:P15,"&gt;0")</f>
        <v>3</v>
      </c>
      <c r="Q18" s="23">
        <f>COUNTIF(Q8:Q15,"&gt;0")</f>
        <v>0</v>
      </c>
      <c r="R18" s="23">
        <f>COUNTIF(R8:R15,"&gt;0")</f>
        <v>0</v>
      </c>
      <c r="S18" s="23">
        <f>COUNTIF(S8:S15,"&gt;0")</f>
        <v>0</v>
      </c>
      <c r="T18" s="23"/>
      <c r="U18" s="24"/>
      <c r="V18" s="24"/>
    </row>
    <row r="20" spans="1:22" ht="15.6" x14ac:dyDescent="0.3">
      <c r="B20" s="7" t="s">
        <v>92</v>
      </c>
    </row>
    <row r="21" spans="1:22" x14ac:dyDescent="0.3">
      <c r="B21" s="18" t="s">
        <v>93</v>
      </c>
    </row>
    <row r="22" spans="1:22" x14ac:dyDescent="0.3">
      <c r="B22" s="25" t="s">
        <v>94</v>
      </c>
    </row>
    <row r="23" spans="1:22" x14ac:dyDescent="0.3">
      <c r="B23" s="21" t="s">
        <v>95</v>
      </c>
    </row>
    <row r="25" spans="1:22" x14ac:dyDescent="0.3">
      <c r="B25" s="33" t="s">
        <v>96</v>
      </c>
      <c r="C25" s="34"/>
      <c r="D25" s="34"/>
      <c r="E25" s="34"/>
      <c r="F25" s="34"/>
      <c r="G25" s="34"/>
      <c r="H25" s="34"/>
      <c r="I25" s="34"/>
      <c r="J25" s="34"/>
      <c r="K25" s="34"/>
    </row>
  </sheetData>
  <mergeCells count="27">
    <mergeCell ref="A1:V1"/>
    <mergeCell ref="J6"/>
    <mergeCell ref="B2:H2"/>
    <mergeCell ref="A17:B17"/>
    <mergeCell ref="C6:E6"/>
    <mergeCell ref="A8:A13"/>
    <mergeCell ref="A4:A7"/>
    <mergeCell ref="F6:H6"/>
    <mergeCell ref="O6:Q6"/>
    <mergeCell ref="B4:B7"/>
    <mergeCell ref="U4:U7"/>
    <mergeCell ref="K6:L6"/>
    <mergeCell ref="R5:S5"/>
    <mergeCell ref="B25:K25"/>
    <mergeCell ref="A18:B18"/>
    <mergeCell ref="K5:N5"/>
    <mergeCell ref="A14:A15"/>
    <mergeCell ref="Q2:V2"/>
    <mergeCell ref="M6:N6"/>
    <mergeCell ref="O5:Q5"/>
    <mergeCell ref="T4:T7"/>
    <mergeCell ref="V4:V7"/>
    <mergeCell ref="C5:J5"/>
    <mergeCell ref="A16:B16"/>
    <mergeCell ref="C4:S4"/>
    <mergeCell ref="I6"/>
    <mergeCell ref="R6:S6"/>
  </mergeCells>
  <conditionalFormatting sqref="C8:S15">
    <cfRule type="cellIs" dxfId="9" priority="1" operator="lessThan">
      <formula>0</formula>
    </cfRule>
    <cfRule type="cellIs" dxfId="8" priority="2" operator="equal">
      <formula>0</formula>
    </cfRule>
    <cfRule type="cellIs" dxfId="7" priority="3" operator="greaterThan">
      <formula>0</formula>
    </cfRule>
  </conditionalFormatting>
  <conditionalFormatting sqref="T8:T15">
    <cfRule type="cellIs" dxfId="6" priority="4" operator="lessThan">
      <formula>0</formula>
    </cfRule>
    <cfRule type="cellIs" dxfId="5" priority="5" operator="greaterThan">
      <formula>0</formula>
    </cfRule>
  </conditionalFormatting>
  <printOptions horizontalCentered="1"/>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2"/>
  <sheetViews>
    <sheetView showGridLines="0" workbookViewId="0">
      <pane xSplit="2" ySplit="4" topLeftCell="C43" activePane="bottomRight" state="frozen"/>
      <selection pane="topRight"/>
      <selection pane="bottomLeft"/>
      <selection pane="bottomRight" activeCell="B50" sqref="B50"/>
    </sheetView>
  </sheetViews>
  <sheetFormatPr defaultRowHeight="14.4" x14ac:dyDescent="0.3"/>
  <cols>
    <col min="1" max="1" width="30" customWidth="1"/>
    <col min="2" max="2" width="24" customWidth="1"/>
    <col min="3" max="19" width="7.44140625" customWidth="1"/>
  </cols>
  <sheetData>
    <row r="1" spans="1:19" ht="30" customHeight="1" x14ac:dyDescent="0.3">
      <c r="A1" s="35" t="s">
        <v>97</v>
      </c>
      <c r="B1" s="34"/>
      <c r="C1" s="34"/>
      <c r="D1" s="34"/>
      <c r="E1" s="34"/>
      <c r="F1" s="34"/>
      <c r="G1" s="34"/>
      <c r="H1" s="34"/>
      <c r="I1" s="34"/>
      <c r="J1" s="34"/>
      <c r="K1" s="34"/>
      <c r="L1" s="34"/>
      <c r="M1" s="34"/>
      <c r="N1" s="34"/>
      <c r="O1" s="34"/>
      <c r="P1" s="34"/>
      <c r="Q1" s="34"/>
      <c r="R1" s="34"/>
      <c r="S1" s="34"/>
    </row>
    <row r="2" spans="1:19" ht="25.95" customHeight="1" x14ac:dyDescent="0.3">
      <c r="A2" s="33" t="s">
        <v>98</v>
      </c>
      <c r="B2" s="34"/>
      <c r="C2" s="34"/>
      <c r="D2" s="34"/>
      <c r="E2" s="34"/>
      <c r="F2" s="34"/>
      <c r="G2" s="34"/>
      <c r="H2" s="34"/>
      <c r="I2" s="34"/>
      <c r="J2" s="34"/>
      <c r="K2" s="34"/>
      <c r="L2" s="34"/>
      <c r="M2" s="34"/>
      <c r="N2" s="34"/>
      <c r="O2" s="34"/>
      <c r="P2" s="34"/>
      <c r="Q2" s="34"/>
      <c r="R2" s="34"/>
      <c r="S2" s="34"/>
    </row>
    <row r="4" spans="1:19" ht="154.94999999999999" customHeight="1" x14ac:dyDescent="0.3">
      <c r="A4" s="26" t="s">
        <v>99</v>
      </c>
      <c r="B4" s="26" t="s">
        <v>7</v>
      </c>
      <c r="C4" s="13" t="s">
        <v>64</v>
      </c>
      <c r="D4" s="13" t="s">
        <v>65</v>
      </c>
      <c r="E4" s="13" t="s">
        <v>66</v>
      </c>
      <c r="F4" s="13" t="s">
        <v>67</v>
      </c>
      <c r="G4" s="13" t="s">
        <v>68</v>
      </c>
      <c r="H4" s="13" t="s">
        <v>69</v>
      </c>
      <c r="I4" s="13" t="s">
        <v>70</v>
      </c>
      <c r="J4" s="13" t="s">
        <v>71</v>
      </c>
      <c r="K4" s="14" t="s">
        <v>72</v>
      </c>
      <c r="L4" s="14" t="s">
        <v>73</v>
      </c>
      <c r="M4" s="14" t="s">
        <v>74</v>
      </c>
      <c r="N4" s="14" t="s">
        <v>75</v>
      </c>
      <c r="O4" s="15" t="s">
        <v>76</v>
      </c>
      <c r="P4" s="15" t="s">
        <v>77</v>
      </c>
      <c r="Q4" s="15" t="s">
        <v>78</v>
      </c>
      <c r="R4" s="16" t="s">
        <v>79</v>
      </c>
      <c r="S4" s="16" t="s">
        <v>80</v>
      </c>
    </row>
    <row r="5" spans="1:19" ht="16.05" customHeight="1" x14ac:dyDescent="0.3">
      <c r="A5" s="56" t="s">
        <v>82</v>
      </c>
      <c r="B5" s="27" t="s">
        <v>13</v>
      </c>
      <c r="C5" s="6">
        <v>-1</v>
      </c>
      <c r="D5" s="6">
        <v>-1</v>
      </c>
      <c r="E5" s="6">
        <v>-1</v>
      </c>
      <c r="F5" s="6">
        <v>-1</v>
      </c>
      <c r="G5" s="6">
        <v>0</v>
      </c>
      <c r="H5" s="6">
        <v>-1</v>
      </c>
      <c r="I5" s="6">
        <v>0</v>
      </c>
      <c r="J5" s="6">
        <v>-1</v>
      </c>
      <c r="K5" s="6">
        <v>-1</v>
      </c>
      <c r="L5" s="6">
        <v>-1</v>
      </c>
      <c r="M5" s="6">
        <v>-1</v>
      </c>
      <c r="N5" s="6">
        <v>-1</v>
      </c>
      <c r="O5" s="6">
        <v>0</v>
      </c>
      <c r="P5" s="6">
        <v>0</v>
      </c>
      <c r="Q5" s="6">
        <v>0</v>
      </c>
      <c r="R5" s="6">
        <v>-1</v>
      </c>
      <c r="S5" s="6">
        <v>-1</v>
      </c>
    </row>
    <row r="6" spans="1:19" ht="16.05" customHeight="1" x14ac:dyDescent="0.3">
      <c r="A6" s="34"/>
      <c r="B6" s="27" t="s">
        <v>17</v>
      </c>
      <c r="C6" s="28">
        <v>2</v>
      </c>
      <c r="D6" s="28">
        <v>2</v>
      </c>
      <c r="E6" s="28">
        <v>3</v>
      </c>
      <c r="F6" s="28">
        <v>2</v>
      </c>
      <c r="G6" s="28">
        <v>0</v>
      </c>
      <c r="H6" s="28">
        <v>1</v>
      </c>
      <c r="I6" s="28">
        <v>0</v>
      </c>
      <c r="J6" s="28">
        <v>3</v>
      </c>
      <c r="K6" s="28">
        <v>1</v>
      </c>
      <c r="L6" s="28">
        <v>3</v>
      </c>
      <c r="M6" s="28">
        <v>1</v>
      </c>
      <c r="N6" s="28">
        <v>2</v>
      </c>
      <c r="O6" s="28">
        <v>0</v>
      </c>
      <c r="P6" s="28">
        <v>0</v>
      </c>
      <c r="Q6" s="28">
        <v>0</v>
      </c>
      <c r="R6" s="28">
        <v>2</v>
      </c>
      <c r="S6" s="28">
        <v>2</v>
      </c>
    </row>
    <row r="7" spans="1:19" ht="16.05" customHeight="1" x14ac:dyDescent="0.3">
      <c r="A7" s="34"/>
      <c r="B7" s="27" t="s">
        <v>23</v>
      </c>
      <c r="C7" s="6">
        <v>2</v>
      </c>
      <c r="D7" s="6">
        <v>2</v>
      </c>
      <c r="E7" s="6">
        <v>2</v>
      </c>
      <c r="F7" s="6">
        <v>1</v>
      </c>
      <c r="G7" s="6">
        <v>0</v>
      </c>
      <c r="H7" s="6">
        <v>1</v>
      </c>
      <c r="I7" s="6">
        <v>0</v>
      </c>
      <c r="J7" s="6">
        <v>2</v>
      </c>
      <c r="K7" s="6">
        <v>1</v>
      </c>
      <c r="L7" s="6">
        <v>1</v>
      </c>
      <c r="M7" s="6">
        <v>1</v>
      </c>
      <c r="N7" s="6">
        <v>1</v>
      </c>
      <c r="O7" s="6">
        <v>0</v>
      </c>
      <c r="P7" s="6">
        <v>0</v>
      </c>
      <c r="Q7" s="6">
        <v>0</v>
      </c>
      <c r="R7" s="6">
        <v>2</v>
      </c>
      <c r="S7" s="6">
        <v>2</v>
      </c>
    </row>
    <row r="8" spans="1:19" ht="16.05" customHeight="1" x14ac:dyDescent="0.3">
      <c r="A8" s="34"/>
      <c r="B8" s="27" t="s">
        <v>28</v>
      </c>
      <c r="C8" s="28">
        <v>2</v>
      </c>
      <c r="D8" s="28">
        <v>3</v>
      </c>
      <c r="E8" s="28">
        <v>3</v>
      </c>
      <c r="F8" s="28">
        <v>2</v>
      </c>
      <c r="G8" s="28">
        <v>0</v>
      </c>
      <c r="H8" s="28">
        <v>1</v>
      </c>
      <c r="I8" s="28">
        <v>0</v>
      </c>
      <c r="J8" s="28">
        <v>3</v>
      </c>
      <c r="K8" s="28">
        <v>1</v>
      </c>
      <c r="L8" s="28">
        <v>1</v>
      </c>
      <c r="M8" s="28">
        <v>3</v>
      </c>
      <c r="N8" s="28">
        <v>1</v>
      </c>
      <c r="O8" s="28">
        <v>0</v>
      </c>
      <c r="P8" s="28">
        <v>0</v>
      </c>
      <c r="Q8" s="28">
        <v>0</v>
      </c>
      <c r="R8" s="28">
        <v>1</v>
      </c>
      <c r="S8" s="28">
        <v>1</v>
      </c>
    </row>
    <row r="9" spans="1:19" ht="16.05" customHeight="1" x14ac:dyDescent="0.3">
      <c r="A9" s="34"/>
      <c r="B9" s="27" t="s">
        <v>33</v>
      </c>
      <c r="C9" s="6">
        <v>1</v>
      </c>
      <c r="D9" s="6">
        <v>2</v>
      </c>
      <c r="E9" s="6">
        <v>3</v>
      </c>
      <c r="F9" s="6">
        <v>2</v>
      </c>
      <c r="G9" s="6">
        <v>0</v>
      </c>
      <c r="H9" s="6">
        <v>1</v>
      </c>
      <c r="I9" s="6">
        <v>0</v>
      </c>
      <c r="J9" s="6">
        <v>2</v>
      </c>
      <c r="K9" s="6">
        <v>1</v>
      </c>
      <c r="L9" s="6">
        <v>1</v>
      </c>
      <c r="M9" s="6">
        <v>3</v>
      </c>
      <c r="N9" s="6">
        <v>1</v>
      </c>
      <c r="O9" s="6">
        <v>0</v>
      </c>
      <c r="P9" s="6">
        <v>0</v>
      </c>
      <c r="Q9" s="6">
        <v>0</v>
      </c>
      <c r="R9" s="6">
        <v>1</v>
      </c>
      <c r="S9" s="6">
        <v>1</v>
      </c>
    </row>
    <row r="10" spans="1:19" ht="16.05" customHeight="1" x14ac:dyDescent="0.3">
      <c r="A10" s="34"/>
      <c r="B10" s="29" t="s">
        <v>100</v>
      </c>
      <c r="C10" s="23">
        <f t="shared" ref="C10:S10" si="0">C5*(C6+C7+C8+C9)</f>
        <v>-7</v>
      </c>
      <c r="D10" s="23">
        <f t="shared" si="0"/>
        <v>-9</v>
      </c>
      <c r="E10" s="23">
        <f t="shared" si="0"/>
        <v>-11</v>
      </c>
      <c r="F10" s="23">
        <f t="shared" si="0"/>
        <v>-7</v>
      </c>
      <c r="G10" s="23">
        <f t="shared" si="0"/>
        <v>0</v>
      </c>
      <c r="H10" s="23">
        <f t="shared" si="0"/>
        <v>-4</v>
      </c>
      <c r="I10" s="23">
        <f t="shared" si="0"/>
        <v>0</v>
      </c>
      <c r="J10" s="23">
        <f t="shared" si="0"/>
        <v>-10</v>
      </c>
      <c r="K10" s="23">
        <f t="shared" si="0"/>
        <v>-4</v>
      </c>
      <c r="L10" s="23">
        <f t="shared" si="0"/>
        <v>-6</v>
      </c>
      <c r="M10" s="23">
        <f t="shared" si="0"/>
        <v>-8</v>
      </c>
      <c r="N10" s="23">
        <f t="shared" si="0"/>
        <v>-5</v>
      </c>
      <c r="O10" s="23">
        <f t="shared" si="0"/>
        <v>0</v>
      </c>
      <c r="P10" s="23">
        <f t="shared" si="0"/>
        <v>0</v>
      </c>
      <c r="Q10" s="23">
        <f t="shared" si="0"/>
        <v>0</v>
      </c>
      <c r="R10" s="23">
        <f t="shared" si="0"/>
        <v>-6</v>
      </c>
      <c r="S10" s="23">
        <f t="shared" si="0"/>
        <v>-6</v>
      </c>
    </row>
    <row r="11" spans="1:19" ht="16.05" customHeight="1" x14ac:dyDescent="0.3">
      <c r="A11" s="56" t="s">
        <v>83</v>
      </c>
      <c r="B11" s="27" t="s">
        <v>13</v>
      </c>
      <c r="C11" s="6">
        <v>-1</v>
      </c>
      <c r="D11" s="6">
        <v>-1</v>
      </c>
      <c r="E11" s="6">
        <v>-1</v>
      </c>
      <c r="F11" s="6">
        <v>-1</v>
      </c>
      <c r="G11" s="6">
        <v>0</v>
      </c>
      <c r="H11" s="6">
        <v>-1</v>
      </c>
      <c r="I11" s="6">
        <v>0</v>
      </c>
      <c r="J11" s="6">
        <v>-1</v>
      </c>
      <c r="K11" s="6">
        <v>-1</v>
      </c>
      <c r="L11" s="6">
        <v>-1</v>
      </c>
      <c r="M11" s="6">
        <v>-1</v>
      </c>
      <c r="N11" s="6">
        <v>-1</v>
      </c>
      <c r="O11" s="6">
        <v>0</v>
      </c>
      <c r="P11" s="6">
        <v>0</v>
      </c>
      <c r="Q11" s="6">
        <v>0</v>
      </c>
      <c r="R11" s="6">
        <v>0</v>
      </c>
      <c r="S11" s="6">
        <v>0</v>
      </c>
    </row>
    <row r="12" spans="1:19" ht="16.05" customHeight="1" x14ac:dyDescent="0.3">
      <c r="A12" s="34"/>
      <c r="B12" s="27" t="s">
        <v>17</v>
      </c>
      <c r="C12" s="28">
        <v>2</v>
      </c>
      <c r="D12" s="28">
        <v>1</v>
      </c>
      <c r="E12" s="28">
        <v>2</v>
      </c>
      <c r="F12" s="28">
        <v>2</v>
      </c>
      <c r="G12" s="28">
        <v>0</v>
      </c>
      <c r="H12" s="28">
        <v>2</v>
      </c>
      <c r="I12" s="28">
        <v>0</v>
      </c>
      <c r="J12" s="28">
        <v>3</v>
      </c>
      <c r="K12" s="28">
        <v>2</v>
      </c>
      <c r="L12" s="28">
        <v>2</v>
      </c>
      <c r="M12" s="28">
        <v>1</v>
      </c>
      <c r="N12" s="28">
        <v>1</v>
      </c>
      <c r="O12" s="28">
        <v>0</v>
      </c>
      <c r="P12" s="28">
        <v>0</v>
      </c>
      <c r="Q12" s="28">
        <v>0</v>
      </c>
      <c r="R12" s="28">
        <v>0</v>
      </c>
      <c r="S12" s="28">
        <v>0</v>
      </c>
    </row>
    <row r="13" spans="1:19" ht="16.05" customHeight="1" x14ac:dyDescent="0.3">
      <c r="A13" s="34"/>
      <c r="B13" s="27" t="s">
        <v>23</v>
      </c>
      <c r="C13" s="6">
        <v>2</v>
      </c>
      <c r="D13" s="6">
        <v>1</v>
      </c>
      <c r="E13" s="6">
        <v>2</v>
      </c>
      <c r="F13" s="6">
        <v>1</v>
      </c>
      <c r="G13" s="6">
        <v>0</v>
      </c>
      <c r="H13" s="6">
        <v>2</v>
      </c>
      <c r="I13" s="6">
        <v>0</v>
      </c>
      <c r="J13" s="6">
        <v>2</v>
      </c>
      <c r="K13" s="6">
        <v>1</v>
      </c>
      <c r="L13" s="6">
        <v>1</v>
      </c>
      <c r="M13" s="6">
        <v>1</v>
      </c>
      <c r="N13" s="6">
        <v>1</v>
      </c>
      <c r="O13" s="6">
        <v>0</v>
      </c>
      <c r="P13" s="6">
        <v>0</v>
      </c>
      <c r="Q13" s="6">
        <v>0</v>
      </c>
      <c r="R13" s="6">
        <v>0</v>
      </c>
      <c r="S13" s="6">
        <v>0</v>
      </c>
    </row>
    <row r="14" spans="1:19" ht="16.05" customHeight="1" x14ac:dyDescent="0.3">
      <c r="A14" s="34"/>
      <c r="B14" s="27" t="s">
        <v>28</v>
      </c>
      <c r="C14" s="28">
        <v>3</v>
      </c>
      <c r="D14" s="28">
        <v>1</v>
      </c>
      <c r="E14" s="28">
        <v>3</v>
      </c>
      <c r="F14" s="28">
        <v>3</v>
      </c>
      <c r="G14" s="28">
        <v>0</v>
      </c>
      <c r="H14" s="28">
        <v>2</v>
      </c>
      <c r="I14" s="28">
        <v>0</v>
      </c>
      <c r="J14" s="28">
        <v>3</v>
      </c>
      <c r="K14" s="28">
        <v>1</v>
      </c>
      <c r="L14" s="28">
        <v>1</v>
      </c>
      <c r="M14" s="28">
        <v>1</v>
      </c>
      <c r="N14" s="28">
        <v>1</v>
      </c>
      <c r="O14" s="28">
        <v>0</v>
      </c>
      <c r="P14" s="28">
        <v>0</v>
      </c>
      <c r="Q14" s="28">
        <v>0</v>
      </c>
      <c r="R14" s="28">
        <v>0</v>
      </c>
      <c r="S14" s="28">
        <v>0</v>
      </c>
    </row>
    <row r="15" spans="1:19" ht="16.05" customHeight="1" x14ac:dyDescent="0.3">
      <c r="A15" s="34"/>
      <c r="B15" s="27" t="s">
        <v>33</v>
      </c>
      <c r="C15" s="6">
        <v>3</v>
      </c>
      <c r="D15" s="6">
        <v>2</v>
      </c>
      <c r="E15" s="6">
        <v>3</v>
      </c>
      <c r="F15" s="6">
        <v>2</v>
      </c>
      <c r="G15" s="6">
        <v>0</v>
      </c>
      <c r="H15" s="6">
        <v>2</v>
      </c>
      <c r="I15" s="6">
        <v>0</v>
      </c>
      <c r="J15" s="6">
        <v>2</v>
      </c>
      <c r="K15" s="6">
        <v>1</v>
      </c>
      <c r="L15" s="6">
        <v>1</v>
      </c>
      <c r="M15" s="6">
        <v>1</v>
      </c>
      <c r="N15" s="6">
        <v>1</v>
      </c>
      <c r="O15" s="6">
        <v>0</v>
      </c>
      <c r="P15" s="6">
        <v>0</v>
      </c>
      <c r="Q15" s="6">
        <v>0</v>
      </c>
      <c r="R15" s="6">
        <v>0</v>
      </c>
      <c r="S15" s="6">
        <v>0</v>
      </c>
    </row>
    <row r="16" spans="1:19" ht="16.05" customHeight="1" x14ac:dyDescent="0.3">
      <c r="A16" s="34"/>
      <c r="B16" s="29" t="s">
        <v>100</v>
      </c>
      <c r="C16" s="23">
        <f t="shared" ref="C16:S16" si="1">C11*(C12+C13+C14+C15)</f>
        <v>-10</v>
      </c>
      <c r="D16" s="23">
        <f t="shared" si="1"/>
        <v>-5</v>
      </c>
      <c r="E16" s="23">
        <f t="shared" si="1"/>
        <v>-10</v>
      </c>
      <c r="F16" s="23">
        <f t="shared" si="1"/>
        <v>-8</v>
      </c>
      <c r="G16" s="23">
        <f t="shared" si="1"/>
        <v>0</v>
      </c>
      <c r="H16" s="23">
        <f t="shared" si="1"/>
        <v>-8</v>
      </c>
      <c r="I16" s="23">
        <f t="shared" si="1"/>
        <v>0</v>
      </c>
      <c r="J16" s="23">
        <f t="shared" si="1"/>
        <v>-10</v>
      </c>
      <c r="K16" s="23">
        <f t="shared" si="1"/>
        <v>-5</v>
      </c>
      <c r="L16" s="23">
        <f t="shared" si="1"/>
        <v>-5</v>
      </c>
      <c r="M16" s="23">
        <f t="shared" si="1"/>
        <v>-4</v>
      </c>
      <c r="N16" s="23">
        <f t="shared" si="1"/>
        <v>-4</v>
      </c>
      <c r="O16" s="23">
        <f t="shared" si="1"/>
        <v>0</v>
      </c>
      <c r="P16" s="23">
        <f t="shared" si="1"/>
        <v>0</v>
      </c>
      <c r="Q16" s="23">
        <f t="shared" si="1"/>
        <v>0</v>
      </c>
      <c r="R16" s="23">
        <f t="shared" si="1"/>
        <v>0</v>
      </c>
      <c r="S16" s="23">
        <f t="shared" si="1"/>
        <v>0</v>
      </c>
    </row>
    <row r="17" spans="1:19" ht="16.05" customHeight="1" x14ac:dyDescent="0.3">
      <c r="A17" s="56" t="s">
        <v>84</v>
      </c>
      <c r="B17" s="27" t="s">
        <v>13</v>
      </c>
      <c r="C17" s="6">
        <v>0</v>
      </c>
      <c r="D17" s="6">
        <v>0</v>
      </c>
      <c r="E17" s="6">
        <v>0</v>
      </c>
      <c r="F17" s="6">
        <v>-1</v>
      </c>
      <c r="G17" s="6">
        <v>0</v>
      </c>
      <c r="H17" s="6">
        <v>-1</v>
      </c>
      <c r="I17" s="6">
        <v>0</v>
      </c>
      <c r="J17" s="6">
        <v>0</v>
      </c>
      <c r="K17" s="6">
        <v>-1</v>
      </c>
      <c r="L17" s="6">
        <v>-1</v>
      </c>
      <c r="M17" s="6">
        <v>-1</v>
      </c>
      <c r="N17" s="6">
        <v>-1</v>
      </c>
      <c r="O17" s="6">
        <v>0</v>
      </c>
      <c r="P17" s="6">
        <v>0</v>
      </c>
      <c r="Q17" s="6">
        <v>0</v>
      </c>
      <c r="R17" s="6">
        <v>-1</v>
      </c>
      <c r="S17" s="6">
        <v>0</v>
      </c>
    </row>
    <row r="18" spans="1:19" ht="16.05" customHeight="1" x14ac:dyDescent="0.3">
      <c r="A18" s="34"/>
      <c r="B18" s="27" t="s">
        <v>17</v>
      </c>
      <c r="C18" s="28">
        <v>0</v>
      </c>
      <c r="D18" s="28">
        <v>0</v>
      </c>
      <c r="E18" s="28">
        <v>0</v>
      </c>
      <c r="F18" s="28">
        <v>3</v>
      </c>
      <c r="G18" s="28">
        <v>0</v>
      </c>
      <c r="H18" s="28">
        <v>3</v>
      </c>
      <c r="I18" s="28">
        <v>0</v>
      </c>
      <c r="J18" s="28">
        <v>0</v>
      </c>
      <c r="K18" s="28">
        <v>1</v>
      </c>
      <c r="L18" s="28">
        <v>1</v>
      </c>
      <c r="M18" s="28">
        <v>1</v>
      </c>
      <c r="N18" s="28">
        <v>1</v>
      </c>
      <c r="O18" s="28">
        <v>0</v>
      </c>
      <c r="P18" s="28">
        <v>0</v>
      </c>
      <c r="Q18" s="28">
        <v>0</v>
      </c>
      <c r="R18" s="28">
        <v>1</v>
      </c>
      <c r="S18" s="28">
        <v>0</v>
      </c>
    </row>
    <row r="19" spans="1:19" ht="16.05" customHeight="1" x14ac:dyDescent="0.3">
      <c r="A19" s="34"/>
      <c r="B19" s="27" t="s">
        <v>23</v>
      </c>
      <c r="C19" s="6">
        <v>0</v>
      </c>
      <c r="D19" s="6">
        <v>0</v>
      </c>
      <c r="E19" s="6">
        <v>0</v>
      </c>
      <c r="F19" s="6">
        <v>2</v>
      </c>
      <c r="G19" s="6">
        <v>0</v>
      </c>
      <c r="H19" s="6">
        <v>2</v>
      </c>
      <c r="I19" s="6">
        <v>0</v>
      </c>
      <c r="J19" s="6">
        <v>0</v>
      </c>
      <c r="K19" s="6">
        <v>1</v>
      </c>
      <c r="L19" s="6">
        <v>1</v>
      </c>
      <c r="M19" s="6">
        <v>1</v>
      </c>
      <c r="N19" s="6">
        <v>1</v>
      </c>
      <c r="O19" s="6">
        <v>0</v>
      </c>
      <c r="P19" s="6">
        <v>0</v>
      </c>
      <c r="Q19" s="6">
        <v>0</v>
      </c>
      <c r="R19" s="6">
        <v>1</v>
      </c>
      <c r="S19" s="6">
        <v>0</v>
      </c>
    </row>
    <row r="20" spans="1:19" ht="16.05" customHeight="1" x14ac:dyDescent="0.3">
      <c r="A20" s="34"/>
      <c r="B20" s="27" t="s">
        <v>28</v>
      </c>
      <c r="C20" s="28">
        <v>0</v>
      </c>
      <c r="D20" s="28">
        <v>0</v>
      </c>
      <c r="E20" s="28">
        <v>0</v>
      </c>
      <c r="F20" s="28">
        <v>2</v>
      </c>
      <c r="G20" s="28">
        <v>0</v>
      </c>
      <c r="H20" s="28">
        <v>2</v>
      </c>
      <c r="I20" s="28">
        <v>0</v>
      </c>
      <c r="J20" s="28">
        <v>0</v>
      </c>
      <c r="K20" s="28">
        <v>1</v>
      </c>
      <c r="L20" s="28">
        <v>1</v>
      </c>
      <c r="M20" s="28">
        <v>1</v>
      </c>
      <c r="N20" s="28">
        <v>1</v>
      </c>
      <c r="O20" s="28">
        <v>0</v>
      </c>
      <c r="P20" s="28">
        <v>0</v>
      </c>
      <c r="Q20" s="28">
        <v>0</v>
      </c>
      <c r="R20" s="28">
        <v>1</v>
      </c>
      <c r="S20" s="28">
        <v>0</v>
      </c>
    </row>
    <row r="21" spans="1:19" ht="16.05" customHeight="1" x14ac:dyDescent="0.3">
      <c r="A21" s="34"/>
      <c r="B21" s="27" t="s">
        <v>33</v>
      </c>
      <c r="C21" s="6">
        <v>0</v>
      </c>
      <c r="D21" s="6">
        <v>0</v>
      </c>
      <c r="E21" s="6">
        <v>0</v>
      </c>
      <c r="F21" s="6">
        <v>2</v>
      </c>
      <c r="G21" s="6">
        <v>0</v>
      </c>
      <c r="H21" s="6">
        <v>2</v>
      </c>
      <c r="I21" s="6">
        <v>0</v>
      </c>
      <c r="J21" s="6">
        <v>0</v>
      </c>
      <c r="K21" s="6">
        <v>1</v>
      </c>
      <c r="L21" s="6">
        <v>1</v>
      </c>
      <c r="M21" s="6">
        <v>1</v>
      </c>
      <c r="N21" s="6">
        <v>1</v>
      </c>
      <c r="O21" s="6">
        <v>0</v>
      </c>
      <c r="P21" s="6">
        <v>0</v>
      </c>
      <c r="Q21" s="6">
        <v>0</v>
      </c>
      <c r="R21" s="6">
        <v>1</v>
      </c>
      <c r="S21" s="6">
        <v>0</v>
      </c>
    </row>
    <row r="22" spans="1:19" ht="16.05" customHeight="1" x14ac:dyDescent="0.3">
      <c r="A22" s="34"/>
      <c r="B22" s="29" t="s">
        <v>100</v>
      </c>
      <c r="C22" s="23">
        <f t="shared" ref="C22:S22" si="2">C17*(C18+C19+C20+C21)</f>
        <v>0</v>
      </c>
      <c r="D22" s="23">
        <f t="shared" si="2"/>
        <v>0</v>
      </c>
      <c r="E22" s="23">
        <f t="shared" si="2"/>
        <v>0</v>
      </c>
      <c r="F22" s="23">
        <f t="shared" si="2"/>
        <v>-9</v>
      </c>
      <c r="G22" s="23">
        <f t="shared" si="2"/>
        <v>0</v>
      </c>
      <c r="H22" s="23">
        <f t="shared" si="2"/>
        <v>-9</v>
      </c>
      <c r="I22" s="23">
        <f t="shared" si="2"/>
        <v>0</v>
      </c>
      <c r="J22" s="23">
        <f t="shared" si="2"/>
        <v>0</v>
      </c>
      <c r="K22" s="23">
        <f t="shared" si="2"/>
        <v>-4</v>
      </c>
      <c r="L22" s="23">
        <f t="shared" si="2"/>
        <v>-4</v>
      </c>
      <c r="M22" s="23">
        <f t="shared" si="2"/>
        <v>-4</v>
      </c>
      <c r="N22" s="23">
        <f t="shared" si="2"/>
        <v>-4</v>
      </c>
      <c r="O22" s="23">
        <f t="shared" si="2"/>
        <v>0</v>
      </c>
      <c r="P22" s="23">
        <f t="shared" si="2"/>
        <v>0</v>
      </c>
      <c r="Q22" s="23">
        <f t="shared" si="2"/>
        <v>0</v>
      </c>
      <c r="R22" s="23">
        <f t="shared" si="2"/>
        <v>-4</v>
      </c>
      <c r="S22" s="23">
        <f t="shared" si="2"/>
        <v>0</v>
      </c>
    </row>
    <row r="23" spans="1:19" ht="16.05" customHeight="1" x14ac:dyDescent="0.3">
      <c r="A23" s="56" t="s">
        <v>85</v>
      </c>
      <c r="B23" s="27" t="s">
        <v>13</v>
      </c>
      <c r="C23" s="6">
        <v>0</v>
      </c>
      <c r="D23" s="6">
        <v>-1</v>
      </c>
      <c r="E23" s="6">
        <v>0</v>
      </c>
      <c r="F23" s="6">
        <v>-1</v>
      </c>
      <c r="G23" s="6">
        <v>0</v>
      </c>
      <c r="H23" s="6">
        <v>-1</v>
      </c>
      <c r="I23" s="6">
        <v>0</v>
      </c>
      <c r="J23" s="6">
        <v>-1</v>
      </c>
      <c r="K23" s="6">
        <v>-1</v>
      </c>
      <c r="L23" s="6">
        <v>-1</v>
      </c>
      <c r="M23" s="6">
        <v>0</v>
      </c>
      <c r="N23" s="6">
        <v>0</v>
      </c>
      <c r="O23" s="6">
        <v>0</v>
      </c>
      <c r="P23" s="6">
        <v>0</v>
      </c>
      <c r="Q23" s="6">
        <v>0</v>
      </c>
      <c r="R23" s="6">
        <v>0</v>
      </c>
      <c r="S23" s="6">
        <v>0</v>
      </c>
    </row>
    <row r="24" spans="1:19" ht="16.05" customHeight="1" x14ac:dyDescent="0.3">
      <c r="A24" s="34"/>
      <c r="B24" s="27" t="s">
        <v>17</v>
      </c>
      <c r="C24" s="28">
        <v>0</v>
      </c>
      <c r="D24" s="28">
        <v>2</v>
      </c>
      <c r="E24" s="28">
        <v>0</v>
      </c>
      <c r="F24" s="28">
        <v>3</v>
      </c>
      <c r="G24" s="28">
        <v>0</v>
      </c>
      <c r="H24" s="28">
        <v>3</v>
      </c>
      <c r="I24" s="28">
        <v>0</v>
      </c>
      <c r="J24" s="28">
        <v>3</v>
      </c>
      <c r="K24" s="28">
        <v>2</v>
      </c>
      <c r="L24" s="28">
        <v>2</v>
      </c>
      <c r="M24" s="28">
        <v>0</v>
      </c>
      <c r="N24" s="28">
        <v>0</v>
      </c>
      <c r="O24" s="28">
        <v>0</v>
      </c>
      <c r="P24" s="28">
        <v>0</v>
      </c>
      <c r="Q24" s="28">
        <v>0</v>
      </c>
      <c r="R24" s="28">
        <v>0</v>
      </c>
      <c r="S24" s="28">
        <v>0</v>
      </c>
    </row>
    <row r="25" spans="1:19" ht="16.05" customHeight="1" x14ac:dyDescent="0.3">
      <c r="A25" s="34"/>
      <c r="B25" s="27" t="s">
        <v>23</v>
      </c>
      <c r="C25" s="6">
        <v>0</v>
      </c>
      <c r="D25" s="6">
        <v>2</v>
      </c>
      <c r="E25" s="6">
        <v>0</v>
      </c>
      <c r="F25" s="6">
        <v>2</v>
      </c>
      <c r="G25" s="6">
        <v>0</v>
      </c>
      <c r="H25" s="6">
        <v>2</v>
      </c>
      <c r="I25" s="6">
        <v>0</v>
      </c>
      <c r="J25" s="6">
        <v>2</v>
      </c>
      <c r="K25" s="6">
        <v>2</v>
      </c>
      <c r="L25" s="6">
        <v>2</v>
      </c>
      <c r="M25" s="6">
        <v>0</v>
      </c>
      <c r="N25" s="6">
        <v>0</v>
      </c>
      <c r="O25" s="6">
        <v>0</v>
      </c>
      <c r="P25" s="6">
        <v>0</v>
      </c>
      <c r="Q25" s="6">
        <v>0</v>
      </c>
      <c r="R25" s="6">
        <v>0</v>
      </c>
      <c r="S25" s="6">
        <v>0</v>
      </c>
    </row>
    <row r="26" spans="1:19" ht="16.05" customHeight="1" x14ac:dyDescent="0.3">
      <c r="A26" s="34"/>
      <c r="B26" s="27" t="s">
        <v>28</v>
      </c>
      <c r="C26" s="28">
        <v>0</v>
      </c>
      <c r="D26" s="28">
        <v>3</v>
      </c>
      <c r="E26" s="28">
        <v>0</v>
      </c>
      <c r="F26" s="28">
        <v>2</v>
      </c>
      <c r="G26" s="28">
        <v>0</v>
      </c>
      <c r="H26" s="28">
        <v>2</v>
      </c>
      <c r="I26" s="28">
        <v>0</v>
      </c>
      <c r="J26" s="28">
        <v>2</v>
      </c>
      <c r="K26" s="28">
        <v>1</v>
      </c>
      <c r="L26" s="28">
        <v>1</v>
      </c>
      <c r="M26" s="28">
        <v>0</v>
      </c>
      <c r="N26" s="28">
        <v>0</v>
      </c>
      <c r="O26" s="28">
        <v>0</v>
      </c>
      <c r="P26" s="28">
        <v>0</v>
      </c>
      <c r="Q26" s="28">
        <v>0</v>
      </c>
      <c r="R26" s="28">
        <v>0</v>
      </c>
      <c r="S26" s="28">
        <v>0</v>
      </c>
    </row>
    <row r="27" spans="1:19" ht="16.05" customHeight="1" x14ac:dyDescent="0.3">
      <c r="A27" s="34"/>
      <c r="B27" s="27" t="s">
        <v>33</v>
      </c>
      <c r="C27" s="6">
        <v>0</v>
      </c>
      <c r="D27" s="6">
        <v>2</v>
      </c>
      <c r="E27" s="6">
        <v>0</v>
      </c>
      <c r="F27" s="6">
        <v>2</v>
      </c>
      <c r="G27" s="6">
        <v>0</v>
      </c>
      <c r="H27" s="6">
        <v>2</v>
      </c>
      <c r="I27" s="6">
        <v>0</v>
      </c>
      <c r="J27" s="6">
        <v>1</v>
      </c>
      <c r="K27" s="6">
        <v>1</v>
      </c>
      <c r="L27" s="6">
        <v>1</v>
      </c>
      <c r="M27" s="6">
        <v>0</v>
      </c>
      <c r="N27" s="6">
        <v>0</v>
      </c>
      <c r="O27" s="6">
        <v>0</v>
      </c>
      <c r="P27" s="6">
        <v>0</v>
      </c>
      <c r="Q27" s="6">
        <v>0</v>
      </c>
      <c r="R27" s="6">
        <v>0</v>
      </c>
      <c r="S27" s="6">
        <v>0</v>
      </c>
    </row>
    <row r="28" spans="1:19" ht="16.05" customHeight="1" x14ac:dyDescent="0.3">
      <c r="A28" s="34"/>
      <c r="B28" s="29" t="s">
        <v>100</v>
      </c>
      <c r="C28" s="23">
        <f t="shared" ref="C28:S28" si="3">C23*(C24+C25+C26+C27)</f>
        <v>0</v>
      </c>
      <c r="D28" s="23">
        <f t="shared" si="3"/>
        <v>-9</v>
      </c>
      <c r="E28" s="23">
        <f t="shared" si="3"/>
        <v>0</v>
      </c>
      <c r="F28" s="23">
        <f t="shared" si="3"/>
        <v>-9</v>
      </c>
      <c r="G28" s="23">
        <f t="shared" si="3"/>
        <v>0</v>
      </c>
      <c r="H28" s="23">
        <f t="shared" si="3"/>
        <v>-9</v>
      </c>
      <c r="I28" s="23">
        <f t="shared" si="3"/>
        <v>0</v>
      </c>
      <c r="J28" s="23">
        <f t="shared" si="3"/>
        <v>-8</v>
      </c>
      <c r="K28" s="23">
        <f t="shared" si="3"/>
        <v>-6</v>
      </c>
      <c r="L28" s="23">
        <f t="shared" si="3"/>
        <v>-6</v>
      </c>
      <c r="M28" s="23">
        <f t="shared" si="3"/>
        <v>0</v>
      </c>
      <c r="N28" s="23">
        <f t="shared" si="3"/>
        <v>0</v>
      </c>
      <c r="O28" s="23">
        <f t="shared" si="3"/>
        <v>0</v>
      </c>
      <c r="P28" s="23">
        <f t="shared" si="3"/>
        <v>0</v>
      </c>
      <c r="Q28" s="23">
        <f t="shared" si="3"/>
        <v>0</v>
      </c>
      <c r="R28" s="23">
        <f t="shared" si="3"/>
        <v>0</v>
      </c>
      <c r="S28" s="23">
        <f t="shared" si="3"/>
        <v>0</v>
      </c>
    </row>
    <row r="29" spans="1:19" ht="16.05" customHeight="1" x14ac:dyDescent="0.3">
      <c r="A29" s="56" t="s">
        <v>86</v>
      </c>
      <c r="B29" s="27" t="s">
        <v>13</v>
      </c>
      <c r="C29" s="6">
        <v>0</v>
      </c>
      <c r="D29" s="6">
        <v>-1</v>
      </c>
      <c r="E29" s="6">
        <v>0</v>
      </c>
      <c r="F29" s="6">
        <v>-1</v>
      </c>
      <c r="G29" s="6">
        <v>0</v>
      </c>
      <c r="H29" s="6">
        <v>-1</v>
      </c>
      <c r="I29" s="6">
        <v>0</v>
      </c>
      <c r="J29" s="6">
        <v>-1</v>
      </c>
      <c r="K29" s="6">
        <v>-1</v>
      </c>
      <c r="L29" s="6">
        <v>-1</v>
      </c>
      <c r="M29" s="6">
        <v>0</v>
      </c>
      <c r="N29" s="6">
        <v>-1</v>
      </c>
      <c r="O29" s="6">
        <v>0</v>
      </c>
      <c r="P29" s="6">
        <v>1</v>
      </c>
      <c r="Q29" s="6">
        <v>0</v>
      </c>
      <c r="R29" s="6">
        <v>0</v>
      </c>
      <c r="S29" s="6">
        <v>0</v>
      </c>
    </row>
    <row r="30" spans="1:19" ht="16.05" customHeight="1" x14ac:dyDescent="0.3">
      <c r="A30" s="34"/>
      <c r="B30" s="27" t="s">
        <v>17</v>
      </c>
      <c r="C30" s="28">
        <v>0</v>
      </c>
      <c r="D30" s="28">
        <v>3</v>
      </c>
      <c r="E30" s="28">
        <v>0</v>
      </c>
      <c r="F30" s="28">
        <v>3</v>
      </c>
      <c r="G30" s="28">
        <v>0</v>
      </c>
      <c r="H30" s="28">
        <v>3</v>
      </c>
      <c r="I30" s="28">
        <v>0</v>
      </c>
      <c r="J30" s="28">
        <v>2</v>
      </c>
      <c r="K30" s="28">
        <v>1</v>
      </c>
      <c r="L30" s="28">
        <v>1</v>
      </c>
      <c r="M30" s="28">
        <v>0</v>
      </c>
      <c r="N30" s="28">
        <v>1</v>
      </c>
      <c r="O30" s="28">
        <v>0</v>
      </c>
      <c r="P30" s="28">
        <v>2</v>
      </c>
      <c r="Q30" s="28">
        <v>0</v>
      </c>
      <c r="R30" s="28">
        <v>0</v>
      </c>
      <c r="S30" s="28">
        <v>0</v>
      </c>
    </row>
    <row r="31" spans="1:19" ht="16.05" customHeight="1" x14ac:dyDescent="0.3">
      <c r="A31" s="34"/>
      <c r="B31" s="27" t="s">
        <v>23</v>
      </c>
      <c r="C31" s="6">
        <v>0</v>
      </c>
      <c r="D31" s="6">
        <v>2</v>
      </c>
      <c r="E31" s="6">
        <v>0</v>
      </c>
      <c r="F31" s="6">
        <v>2</v>
      </c>
      <c r="G31" s="6">
        <v>0</v>
      </c>
      <c r="H31" s="6">
        <v>2</v>
      </c>
      <c r="I31" s="6">
        <v>0</v>
      </c>
      <c r="J31" s="6">
        <v>2</v>
      </c>
      <c r="K31" s="6">
        <v>1</v>
      </c>
      <c r="L31" s="6">
        <v>1</v>
      </c>
      <c r="M31" s="6">
        <v>0</v>
      </c>
      <c r="N31" s="6">
        <v>1</v>
      </c>
      <c r="O31" s="6">
        <v>0</v>
      </c>
      <c r="P31" s="6">
        <v>1</v>
      </c>
      <c r="Q31" s="6">
        <v>0</v>
      </c>
      <c r="R31" s="6">
        <v>0</v>
      </c>
      <c r="S31" s="6">
        <v>0</v>
      </c>
    </row>
    <row r="32" spans="1:19" ht="16.05" customHeight="1" x14ac:dyDescent="0.3">
      <c r="A32" s="34"/>
      <c r="B32" s="27" t="s">
        <v>28</v>
      </c>
      <c r="C32" s="28">
        <v>0</v>
      </c>
      <c r="D32" s="28">
        <v>3</v>
      </c>
      <c r="E32" s="28">
        <v>0</v>
      </c>
      <c r="F32" s="28">
        <v>3</v>
      </c>
      <c r="G32" s="28">
        <v>0</v>
      </c>
      <c r="H32" s="28">
        <v>3</v>
      </c>
      <c r="I32" s="28">
        <v>0</v>
      </c>
      <c r="J32" s="28">
        <v>2</v>
      </c>
      <c r="K32" s="28">
        <v>1</v>
      </c>
      <c r="L32" s="28">
        <v>1</v>
      </c>
      <c r="M32" s="28">
        <v>0</v>
      </c>
      <c r="N32" s="28">
        <v>1</v>
      </c>
      <c r="O32" s="28">
        <v>0</v>
      </c>
      <c r="P32" s="28">
        <v>1</v>
      </c>
      <c r="Q32" s="28">
        <v>0</v>
      </c>
      <c r="R32" s="28">
        <v>0</v>
      </c>
      <c r="S32" s="28">
        <v>0</v>
      </c>
    </row>
    <row r="33" spans="1:19" ht="16.05" customHeight="1" x14ac:dyDescent="0.3">
      <c r="A33" s="34"/>
      <c r="B33" s="27" t="s">
        <v>33</v>
      </c>
      <c r="C33" s="6">
        <v>0</v>
      </c>
      <c r="D33" s="6">
        <v>2</v>
      </c>
      <c r="E33" s="6">
        <v>0</v>
      </c>
      <c r="F33" s="6">
        <v>2</v>
      </c>
      <c r="G33" s="6">
        <v>0</v>
      </c>
      <c r="H33" s="6">
        <v>2</v>
      </c>
      <c r="I33" s="6">
        <v>0</v>
      </c>
      <c r="J33" s="6">
        <v>2</v>
      </c>
      <c r="K33" s="6">
        <v>1</v>
      </c>
      <c r="L33" s="6">
        <v>1</v>
      </c>
      <c r="M33" s="6">
        <v>0</v>
      </c>
      <c r="N33" s="6">
        <v>1</v>
      </c>
      <c r="O33" s="6">
        <v>0</v>
      </c>
      <c r="P33" s="6">
        <v>1</v>
      </c>
      <c r="Q33" s="6">
        <v>0</v>
      </c>
      <c r="R33" s="6">
        <v>0</v>
      </c>
      <c r="S33" s="6">
        <v>0</v>
      </c>
    </row>
    <row r="34" spans="1:19" ht="16.05" customHeight="1" x14ac:dyDescent="0.3">
      <c r="A34" s="34"/>
      <c r="B34" s="29" t="s">
        <v>100</v>
      </c>
      <c r="C34" s="23">
        <f t="shared" ref="C34:S34" si="4">C29*(C30+C31+C32+C33)</f>
        <v>0</v>
      </c>
      <c r="D34" s="23">
        <f t="shared" si="4"/>
        <v>-10</v>
      </c>
      <c r="E34" s="23">
        <f t="shared" si="4"/>
        <v>0</v>
      </c>
      <c r="F34" s="23">
        <f t="shared" si="4"/>
        <v>-10</v>
      </c>
      <c r="G34" s="23">
        <f t="shared" si="4"/>
        <v>0</v>
      </c>
      <c r="H34" s="23">
        <f t="shared" si="4"/>
        <v>-10</v>
      </c>
      <c r="I34" s="23">
        <f t="shared" si="4"/>
        <v>0</v>
      </c>
      <c r="J34" s="23">
        <f t="shared" si="4"/>
        <v>-8</v>
      </c>
      <c r="K34" s="23">
        <f t="shared" si="4"/>
        <v>-4</v>
      </c>
      <c r="L34" s="23">
        <f t="shared" si="4"/>
        <v>-4</v>
      </c>
      <c r="M34" s="23">
        <f t="shared" si="4"/>
        <v>0</v>
      </c>
      <c r="N34" s="23">
        <f t="shared" si="4"/>
        <v>-4</v>
      </c>
      <c r="O34" s="23">
        <f t="shared" si="4"/>
        <v>0</v>
      </c>
      <c r="P34" s="23">
        <f t="shared" si="4"/>
        <v>5</v>
      </c>
      <c r="Q34" s="23">
        <f t="shared" si="4"/>
        <v>0</v>
      </c>
      <c r="R34" s="23">
        <f t="shared" si="4"/>
        <v>0</v>
      </c>
      <c r="S34" s="23">
        <f t="shared" si="4"/>
        <v>0</v>
      </c>
    </row>
    <row r="35" spans="1:19" ht="16.05" customHeight="1" x14ac:dyDescent="0.3">
      <c r="A35" s="56" t="s">
        <v>87</v>
      </c>
      <c r="B35" s="27" t="s">
        <v>13</v>
      </c>
      <c r="C35" s="6">
        <v>0</v>
      </c>
      <c r="D35" s="6">
        <v>0</v>
      </c>
      <c r="E35" s="6">
        <v>0</v>
      </c>
      <c r="F35" s="6">
        <v>0</v>
      </c>
      <c r="G35" s="6">
        <v>0</v>
      </c>
      <c r="H35" s="6">
        <v>0</v>
      </c>
      <c r="I35" s="6">
        <v>0</v>
      </c>
      <c r="J35" s="6">
        <v>0</v>
      </c>
      <c r="K35" s="6">
        <v>0</v>
      </c>
      <c r="L35" s="6">
        <v>0</v>
      </c>
      <c r="M35" s="6">
        <v>-1</v>
      </c>
      <c r="N35" s="6">
        <v>-1</v>
      </c>
      <c r="O35" s="6">
        <v>-1</v>
      </c>
      <c r="P35" s="6">
        <v>0</v>
      </c>
      <c r="Q35" s="6">
        <v>0</v>
      </c>
      <c r="R35" s="6">
        <v>0</v>
      </c>
      <c r="S35" s="6">
        <v>0</v>
      </c>
    </row>
    <row r="36" spans="1:19" ht="16.05" customHeight="1" x14ac:dyDescent="0.3">
      <c r="A36" s="34"/>
      <c r="B36" s="27" t="s">
        <v>17</v>
      </c>
      <c r="C36" s="28">
        <v>0</v>
      </c>
      <c r="D36" s="28">
        <v>0</v>
      </c>
      <c r="E36" s="28">
        <v>0</v>
      </c>
      <c r="F36" s="28">
        <v>0</v>
      </c>
      <c r="G36" s="28">
        <v>0</v>
      </c>
      <c r="H36" s="28">
        <v>0</v>
      </c>
      <c r="I36" s="28">
        <v>0</v>
      </c>
      <c r="J36" s="28">
        <v>0</v>
      </c>
      <c r="K36" s="28">
        <v>0</v>
      </c>
      <c r="L36" s="28">
        <v>0</v>
      </c>
      <c r="M36" s="28">
        <v>1</v>
      </c>
      <c r="N36" s="28">
        <v>2</v>
      </c>
      <c r="O36" s="28">
        <v>1</v>
      </c>
      <c r="P36" s="28">
        <v>0</v>
      </c>
      <c r="Q36" s="28">
        <v>0</v>
      </c>
      <c r="R36" s="28">
        <v>0</v>
      </c>
      <c r="S36" s="28">
        <v>0</v>
      </c>
    </row>
    <row r="37" spans="1:19" ht="16.05" customHeight="1" x14ac:dyDescent="0.3">
      <c r="A37" s="34"/>
      <c r="B37" s="27" t="s">
        <v>23</v>
      </c>
      <c r="C37" s="6">
        <v>0</v>
      </c>
      <c r="D37" s="6">
        <v>0</v>
      </c>
      <c r="E37" s="6">
        <v>0</v>
      </c>
      <c r="F37" s="6">
        <v>0</v>
      </c>
      <c r="G37" s="6">
        <v>0</v>
      </c>
      <c r="H37" s="6">
        <v>0</v>
      </c>
      <c r="I37" s="6">
        <v>0</v>
      </c>
      <c r="J37" s="6">
        <v>0</v>
      </c>
      <c r="K37" s="6">
        <v>0</v>
      </c>
      <c r="L37" s="6">
        <v>0</v>
      </c>
      <c r="M37" s="6">
        <v>1</v>
      </c>
      <c r="N37" s="6">
        <v>1</v>
      </c>
      <c r="O37" s="6">
        <v>1</v>
      </c>
      <c r="P37" s="6">
        <v>0</v>
      </c>
      <c r="Q37" s="6">
        <v>0</v>
      </c>
      <c r="R37" s="6">
        <v>0</v>
      </c>
      <c r="S37" s="6">
        <v>0</v>
      </c>
    </row>
    <row r="38" spans="1:19" ht="16.05" customHeight="1" x14ac:dyDescent="0.3">
      <c r="A38" s="34"/>
      <c r="B38" s="27" t="s">
        <v>28</v>
      </c>
      <c r="C38" s="28">
        <v>0</v>
      </c>
      <c r="D38" s="28">
        <v>0</v>
      </c>
      <c r="E38" s="28">
        <v>0</v>
      </c>
      <c r="F38" s="28">
        <v>0</v>
      </c>
      <c r="G38" s="28">
        <v>0</v>
      </c>
      <c r="H38" s="28">
        <v>0</v>
      </c>
      <c r="I38" s="28">
        <v>0</v>
      </c>
      <c r="J38" s="28">
        <v>0</v>
      </c>
      <c r="K38" s="28">
        <v>0</v>
      </c>
      <c r="L38" s="28">
        <v>0</v>
      </c>
      <c r="M38" s="28">
        <v>1</v>
      </c>
      <c r="N38" s="28">
        <v>1</v>
      </c>
      <c r="O38" s="28">
        <v>1</v>
      </c>
      <c r="P38" s="28">
        <v>0</v>
      </c>
      <c r="Q38" s="28">
        <v>0</v>
      </c>
      <c r="R38" s="28">
        <v>0</v>
      </c>
      <c r="S38" s="28">
        <v>0</v>
      </c>
    </row>
    <row r="39" spans="1:19" ht="16.05" customHeight="1" x14ac:dyDescent="0.3">
      <c r="A39" s="34"/>
      <c r="B39" s="27" t="s">
        <v>33</v>
      </c>
      <c r="C39" s="6">
        <v>0</v>
      </c>
      <c r="D39" s="6">
        <v>0</v>
      </c>
      <c r="E39" s="6">
        <v>0</v>
      </c>
      <c r="F39" s="6">
        <v>0</v>
      </c>
      <c r="G39" s="6">
        <v>0</v>
      </c>
      <c r="H39" s="6">
        <v>0</v>
      </c>
      <c r="I39" s="6">
        <v>0</v>
      </c>
      <c r="J39" s="6">
        <v>0</v>
      </c>
      <c r="K39" s="6">
        <v>0</v>
      </c>
      <c r="L39" s="6">
        <v>0</v>
      </c>
      <c r="M39" s="6">
        <v>1</v>
      </c>
      <c r="N39" s="6">
        <v>1</v>
      </c>
      <c r="O39" s="6">
        <v>1</v>
      </c>
      <c r="P39" s="6">
        <v>0</v>
      </c>
      <c r="Q39" s="6">
        <v>0</v>
      </c>
      <c r="R39" s="6">
        <v>0</v>
      </c>
      <c r="S39" s="6">
        <v>0</v>
      </c>
    </row>
    <row r="40" spans="1:19" ht="16.05" customHeight="1" x14ac:dyDescent="0.3">
      <c r="A40" s="34"/>
      <c r="B40" s="29" t="s">
        <v>100</v>
      </c>
      <c r="C40" s="23">
        <f t="shared" ref="C40:S40" si="5">C35*(C36+C37+C38+C39)</f>
        <v>0</v>
      </c>
      <c r="D40" s="23">
        <f t="shared" si="5"/>
        <v>0</v>
      </c>
      <c r="E40" s="23">
        <f t="shared" si="5"/>
        <v>0</v>
      </c>
      <c r="F40" s="23">
        <f t="shared" si="5"/>
        <v>0</v>
      </c>
      <c r="G40" s="23">
        <f t="shared" si="5"/>
        <v>0</v>
      </c>
      <c r="H40" s="23">
        <f t="shared" si="5"/>
        <v>0</v>
      </c>
      <c r="I40" s="23">
        <f t="shared" si="5"/>
        <v>0</v>
      </c>
      <c r="J40" s="23">
        <f t="shared" si="5"/>
        <v>0</v>
      </c>
      <c r="K40" s="23">
        <f t="shared" si="5"/>
        <v>0</v>
      </c>
      <c r="L40" s="23">
        <f t="shared" si="5"/>
        <v>0</v>
      </c>
      <c r="M40" s="23">
        <f t="shared" si="5"/>
        <v>-4</v>
      </c>
      <c r="N40" s="23">
        <f t="shared" si="5"/>
        <v>-5</v>
      </c>
      <c r="O40" s="23">
        <f t="shared" si="5"/>
        <v>-4</v>
      </c>
      <c r="P40" s="23">
        <f t="shared" si="5"/>
        <v>0</v>
      </c>
      <c r="Q40" s="23">
        <f t="shared" si="5"/>
        <v>0</v>
      </c>
      <c r="R40" s="23">
        <f t="shared" si="5"/>
        <v>0</v>
      </c>
      <c r="S40" s="23">
        <f t="shared" si="5"/>
        <v>0</v>
      </c>
    </row>
    <row r="41" spans="1:19" ht="16.05" customHeight="1" x14ac:dyDescent="0.3">
      <c r="A41" s="57" t="s">
        <v>89</v>
      </c>
      <c r="B41" s="27" t="s">
        <v>13</v>
      </c>
      <c r="C41" s="6">
        <v>0</v>
      </c>
      <c r="D41" s="6">
        <v>0</v>
      </c>
      <c r="E41" s="6">
        <v>-1</v>
      </c>
      <c r="F41" s="6">
        <v>-1</v>
      </c>
      <c r="G41" s="6">
        <v>0</v>
      </c>
      <c r="H41" s="6">
        <v>-1</v>
      </c>
      <c r="I41" s="6">
        <v>0</v>
      </c>
      <c r="J41" s="6">
        <v>1</v>
      </c>
      <c r="K41" s="6">
        <v>0</v>
      </c>
      <c r="L41" s="6">
        <v>0</v>
      </c>
      <c r="M41" s="6">
        <v>0</v>
      </c>
      <c r="N41" s="6">
        <v>-1</v>
      </c>
      <c r="O41" s="6">
        <v>0</v>
      </c>
      <c r="P41" s="6">
        <v>1</v>
      </c>
      <c r="Q41" s="6">
        <v>0</v>
      </c>
      <c r="R41" s="6">
        <v>-1</v>
      </c>
      <c r="S41" s="6">
        <v>0</v>
      </c>
    </row>
    <row r="42" spans="1:19" ht="16.05" customHeight="1" x14ac:dyDescent="0.3">
      <c r="A42" s="34"/>
      <c r="B42" s="27" t="s">
        <v>17</v>
      </c>
      <c r="C42" s="28">
        <v>0</v>
      </c>
      <c r="D42" s="28">
        <v>0</v>
      </c>
      <c r="E42" s="28">
        <v>2</v>
      </c>
      <c r="F42" s="28">
        <v>2</v>
      </c>
      <c r="G42" s="28">
        <v>0</v>
      </c>
      <c r="H42" s="28">
        <v>3</v>
      </c>
      <c r="I42" s="28">
        <v>0</v>
      </c>
      <c r="J42" s="28">
        <v>2</v>
      </c>
      <c r="K42" s="28">
        <v>0</v>
      </c>
      <c r="L42" s="28">
        <v>0</v>
      </c>
      <c r="M42" s="28">
        <v>0</v>
      </c>
      <c r="N42" s="28">
        <v>1</v>
      </c>
      <c r="O42" s="28">
        <v>0</v>
      </c>
      <c r="P42" s="28">
        <v>2</v>
      </c>
      <c r="Q42" s="28">
        <v>0</v>
      </c>
      <c r="R42" s="28">
        <v>1</v>
      </c>
      <c r="S42" s="28">
        <v>0</v>
      </c>
    </row>
    <row r="43" spans="1:19" ht="16.05" customHeight="1" x14ac:dyDescent="0.3">
      <c r="A43" s="34"/>
      <c r="B43" s="27" t="s">
        <v>23</v>
      </c>
      <c r="C43" s="6">
        <v>0</v>
      </c>
      <c r="D43" s="6">
        <v>0</v>
      </c>
      <c r="E43" s="6">
        <v>1</v>
      </c>
      <c r="F43" s="6">
        <v>1</v>
      </c>
      <c r="G43" s="6">
        <v>0</v>
      </c>
      <c r="H43" s="6">
        <v>2</v>
      </c>
      <c r="I43" s="6">
        <v>0</v>
      </c>
      <c r="J43" s="6">
        <v>2</v>
      </c>
      <c r="K43" s="6">
        <v>0</v>
      </c>
      <c r="L43" s="6">
        <v>0</v>
      </c>
      <c r="M43" s="6">
        <v>0</v>
      </c>
      <c r="N43" s="6">
        <v>1</v>
      </c>
      <c r="O43" s="6">
        <v>0</v>
      </c>
      <c r="P43" s="6">
        <v>1</v>
      </c>
      <c r="Q43" s="6">
        <v>0</v>
      </c>
      <c r="R43" s="6">
        <v>1</v>
      </c>
      <c r="S43" s="6">
        <v>0</v>
      </c>
    </row>
    <row r="44" spans="1:19" ht="16.05" customHeight="1" x14ac:dyDescent="0.3">
      <c r="A44" s="34"/>
      <c r="B44" s="27" t="s">
        <v>28</v>
      </c>
      <c r="C44" s="28">
        <v>0</v>
      </c>
      <c r="D44" s="28">
        <v>0</v>
      </c>
      <c r="E44" s="28">
        <v>1</v>
      </c>
      <c r="F44" s="28">
        <v>1</v>
      </c>
      <c r="G44" s="28">
        <v>0</v>
      </c>
      <c r="H44" s="28">
        <v>3</v>
      </c>
      <c r="I44" s="28">
        <v>0</v>
      </c>
      <c r="J44" s="28">
        <v>1</v>
      </c>
      <c r="K44" s="28">
        <v>0</v>
      </c>
      <c r="L44" s="28">
        <v>0</v>
      </c>
      <c r="M44" s="28">
        <v>0</v>
      </c>
      <c r="N44" s="28">
        <v>1</v>
      </c>
      <c r="O44" s="28">
        <v>0</v>
      </c>
      <c r="P44" s="28">
        <v>1</v>
      </c>
      <c r="Q44" s="28">
        <v>0</v>
      </c>
      <c r="R44" s="28">
        <v>1</v>
      </c>
      <c r="S44" s="28">
        <v>0</v>
      </c>
    </row>
    <row r="45" spans="1:19" ht="16.05" customHeight="1" x14ac:dyDescent="0.3">
      <c r="A45" s="34"/>
      <c r="B45" s="27" t="s">
        <v>33</v>
      </c>
      <c r="C45" s="6">
        <v>0</v>
      </c>
      <c r="D45" s="6">
        <v>0</v>
      </c>
      <c r="E45" s="6">
        <v>1</v>
      </c>
      <c r="F45" s="6">
        <v>1</v>
      </c>
      <c r="G45" s="6">
        <v>0</v>
      </c>
      <c r="H45" s="6">
        <v>2</v>
      </c>
      <c r="I45" s="6">
        <v>0</v>
      </c>
      <c r="J45" s="6">
        <v>1</v>
      </c>
      <c r="K45" s="6">
        <v>0</v>
      </c>
      <c r="L45" s="6">
        <v>0</v>
      </c>
      <c r="M45" s="6">
        <v>0</v>
      </c>
      <c r="N45" s="6">
        <v>1</v>
      </c>
      <c r="O45" s="6">
        <v>0</v>
      </c>
      <c r="P45" s="6">
        <v>1</v>
      </c>
      <c r="Q45" s="6">
        <v>0</v>
      </c>
      <c r="R45" s="6">
        <v>1</v>
      </c>
      <c r="S45" s="6">
        <v>0</v>
      </c>
    </row>
    <row r="46" spans="1:19" ht="16.05" customHeight="1" x14ac:dyDescent="0.3">
      <c r="A46" s="34"/>
      <c r="B46" s="29" t="s">
        <v>100</v>
      </c>
      <c r="C46" s="23">
        <f t="shared" ref="C46:S46" si="6">C41*(C42+C43+C44+C45)</f>
        <v>0</v>
      </c>
      <c r="D46" s="23">
        <f t="shared" si="6"/>
        <v>0</v>
      </c>
      <c r="E46" s="23">
        <f t="shared" si="6"/>
        <v>-5</v>
      </c>
      <c r="F46" s="23">
        <f t="shared" si="6"/>
        <v>-5</v>
      </c>
      <c r="G46" s="23">
        <f t="shared" si="6"/>
        <v>0</v>
      </c>
      <c r="H46" s="23">
        <f t="shared" si="6"/>
        <v>-10</v>
      </c>
      <c r="I46" s="23">
        <f t="shared" si="6"/>
        <v>0</v>
      </c>
      <c r="J46" s="23">
        <f t="shared" si="6"/>
        <v>6</v>
      </c>
      <c r="K46" s="23">
        <f t="shared" si="6"/>
        <v>0</v>
      </c>
      <c r="L46" s="23">
        <f t="shared" si="6"/>
        <v>0</v>
      </c>
      <c r="M46" s="23">
        <f t="shared" si="6"/>
        <v>0</v>
      </c>
      <c r="N46" s="23">
        <f t="shared" si="6"/>
        <v>-4</v>
      </c>
      <c r="O46" s="23">
        <f t="shared" si="6"/>
        <v>0</v>
      </c>
      <c r="P46" s="23">
        <f t="shared" si="6"/>
        <v>5</v>
      </c>
      <c r="Q46" s="23">
        <f t="shared" si="6"/>
        <v>0</v>
      </c>
      <c r="R46" s="23">
        <f t="shared" si="6"/>
        <v>-4</v>
      </c>
      <c r="S46" s="23">
        <f t="shared" si="6"/>
        <v>0</v>
      </c>
    </row>
    <row r="47" spans="1:19" ht="16.05" customHeight="1" x14ac:dyDescent="0.3">
      <c r="A47" s="57" t="s">
        <v>90</v>
      </c>
      <c r="B47" s="27" t="s">
        <v>13</v>
      </c>
      <c r="C47" s="6">
        <v>0</v>
      </c>
      <c r="D47" s="6">
        <v>-1</v>
      </c>
      <c r="E47" s="6">
        <v>-1</v>
      </c>
      <c r="F47" s="6">
        <v>-1</v>
      </c>
      <c r="G47" s="6">
        <v>0</v>
      </c>
      <c r="H47" s="6">
        <v>-1</v>
      </c>
      <c r="I47" s="6">
        <v>0</v>
      </c>
      <c r="J47" s="6">
        <v>-1</v>
      </c>
      <c r="K47" s="6">
        <v>-1</v>
      </c>
      <c r="L47" s="6">
        <v>-1</v>
      </c>
      <c r="M47" s="6">
        <v>0</v>
      </c>
      <c r="N47" s="6">
        <v>-1</v>
      </c>
      <c r="O47" s="6">
        <v>0</v>
      </c>
      <c r="P47" s="6">
        <v>1</v>
      </c>
      <c r="Q47" s="6">
        <v>0</v>
      </c>
      <c r="R47" s="6">
        <v>-1</v>
      </c>
      <c r="S47" s="6">
        <v>-1</v>
      </c>
    </row>
    <row r="48" spans="1:19" ht="16.05" customHeight="1" x14ac:dyDescent="0.3">
      <c r="A48" s="34"/>
      <c r="B48" s="27" t="s">
        <v>17</v>
      </c>
      <c r="C48" s="28">
        <v>0</v>
      </c>
      <c r="D48" s="28">
        <v>2</v>
      </c>
      <c r="E48" s="28">
        <v>3</v>
      </c>
      <c r="F48" s="28">
        <v>2</v>
      </c>
      <c r="G48" s="28">
        <v>0</v>
      </c>
      <c r="H48" s="28">
        <v>2</v>
      </c>
      <c r="I48" s="28">
        <v>0</v>
      </c>
      <c r="J48" s="28">
        <v>3</v>
      </c>
      <c r="K48" s="28">
        <v>2</v>
      </c>
      <c r="L48" s="28">
        <v>2</v>
      </c>
      <c r="M48" s="28">
        <v>0</v>
      </c>
      <c r="N48" s="28">
        <v>1</v>
      </c>
      <c r="O48" s="28">
        <v>0</v>
      </c>
      <c r="P48" s="28">
        <v>2</v>
      </c>
      <c r="Q48" s="28">
        <v>0</v>
      </c>
      <c r="R48" s="28">
        <v>1</v>
      </c>
      <c r="S48" s="28">
        <v>1</v>
      </c>
    </row>
    <row r="49" spans="1:19" ht="16.05" customHeight="1" x14ac:dyDescent="0.3">
      <c r="A49" s="34"/>
      <c r="B49" s="27" t="s">
        <v>23</v>
      </c>
      <c r="C49" s="6">
        <v>0</v>
      </c>
      <c r="D49" s="6">
        <v>1</v>
      </c>
      <c r="E49" s="6">
        <v>2</v>
      </c>
      <c r="F49" s="6">
        <v>2</v>
      </c>
      <c r="G49" s="6">
        <v>0</v>
      </c>
      <c r="H49" s="6">
        <v>1</v>
      </c>
      <c r="I49" s="6">
        <v>0</v>
      </c>
      <c r="J49" s="6">
        <v>2</v>
      </c>
      <c r="K49" s="6">
        <v>1</v>
      </c>
      <c r="L49" s="6">
        <v>2</v>
      </c>
      <c r="M49" s="6">
        <v>0</v>
      </c>
      <c r="N49" s="6">
        <v>1</v>
      </c>
      <c r="O49" s="6">
        <v>0</v>
      </c>
      <c r="P49" s="6">
        <v>1</v>
      </c>
      <c r="Q49" s="6">
        <v>0</v>
      </c>
      <c r="R49" s="6">
        <v>1</v>
      </c>
      <c r="S49" s="6">
        <v>1</v>
      </c>
    </row>
    <row r="50" spans="1:19" ht="16.05" customHeight="1" x14ac:dyDescent="0.3">
      <c r="A50" s="34"/>
      <c r="B50" s="27" t="s">
        <v>28</v>
      </c>
      <c r="C50" s="28">
        <v>0</v>
      </c>
      <c r="D50" s="28">
        <v>1</v>
      </c>
      <c r="E50" s="28">
        <v>2</v>
      </c>
      <c r="F50" s="28">
        <v>2</v>
      </c>
      <c r="G50" s="28">
        <v>0</v>
      </c>
      <c r="H50" s="28">
        <v>1</v>
      </c>
      <c r="I50" s="28">
        <v>0</v>
      </c>
      <c r="J50" s="28">
        <v>2</v>
      </c>
      <c r="K50" s="28">
        <v>1</v>
      </c>
      <c r="L50" s="28">
        <v>1</v>
      </c>
      <c r="M50" s="28">
        <v>0</v>
      </c>
      <c r="N50" s="28">
        <v>1</v>
      </c>
      <c r="O50" s="28">
        <v>0</v>
      </c>
      <c r="P50" s="28">
        <v>1</v>
      </c>
      <c r="Q50" s="28">
        <v>0</v>
      </c>
      <c r="R50" s="28">
        <v>1</v>
      </c>
      <c r="S50" s="28">
        <v>1</v>
      </c>
    </row>
    <row r="51" spans="1:19" ht="16.05" customHeight="1" x14ac:dyDescent="0.3">
      <c r="A51" s="34"/>
      <c r="B51" s="27" t="s">
        <v>33</v>
      </c>
      <c r="C51" s="6">
        <v>0</v>
      </c>
      <c r="D51" s="6">
        <v>1</v>
      </c>
      <c r="E51" s="6">
        <v>2</v>
      </c>
      <c r="F51" s="6">
        <v>1</v>
      </c>
      <c r="G51" s="6">
        <v>0</v>
      </c>
      <c r="H51" s="6">
        <v>1</v>
      </c>
      <c r="I51" s="6">
        <v>0</v>
      </c>
      <c r="J51" s="6">
        <v>2</v>
      </c>
      <c r="K51" s="6">
        <v>1</v>
      </c>
      <c r="L51" s="6">
        <v>1</v>
      </c>
      <c r="M51" s="6">
        <v>0</v>
      </c>
      <c r="N51" s="6">
        <v>1</v>
      </c>
      <c r="O51" s="6">
        <v>0</v>
      </c>
      <c r="P51" s="6">
        <v>1</v>
      </c>
      <c r="Q51" s="6">
        <v>0</v>
      </c>
      <c r="R51" s="6">
        <v>1</v>
      </c>
      <c r="S51" s="6">
        <v>1</v>
      </c>
    </row>
    <row r="52" spans="1:19" ht="16.05" customHeight="1" x14ac:dyDescent="0.3">
      <c r="A52" s="34"/>
      <c r="B52" s="29" t="s">
        <v>100</v>
      </c>
      <c r="C52" s="23">
        <f t="shared" ref="C52:S52" si="7">C47*(C48+C49+C50+C51)</f>
        <v>0</v>
      </c>
      <c r="D52" s="23">
        <f t="shared" si="7"/>
        <v>-5</v>
      </c>
      <c r="E52" s="23">
        <f t="shared" si="7"/>
        <v>-9</v>
      </c>
      <c r="F52" s="23">
        <f t="shared" si="7"/>
        <v>-7</v>
      </c>
      <c r="G52" s="23">
        <f t="shared" si="7"/>
        <v>0</v>
      </c>
      <c r="H52" s="23">
        <f t="shared" si="7"/>
        <v>-5</v>
      </c>
      <c r="I52" s="23">
        <f t="shared" si="7"/>
        <v>0</v>
      </c>
      <c r="J52" s="23">
        <f t="shared" si="7"/>
        <v>-9</v>
      </c>
      <c r="K52" s="23">
        <f t="shared" si="7"/>
        <v>-5</v>
      </c>
      <c r="L52" s="23">
        <f t="shared" si="7"/>
        <v>-6</v>
      </c>
      <c r="M52" s="23">
        <f t="shared" si="7"/>
        <v>0</v>
      </c>
      <c r="N52" s="23">
        <f t="shared" si="7"/>
        <v>-4</v>
      </c>
      <c r="O52" s="23">
        <f t="shared" si="7"/>
        <v>0</v>
      </c>
      <c r="P52" s="23">
        <f t="shared" si="7"/>
        <v>5</v>
      </c>
      <c r="Q52" s="23">
        <f t="shared" si="7"/>
        <v>0</v>
      </c>
      <c r="R52" s="23">
        <f t="shared" si="7"/>
        <v>-4</v>
      </c>
      <c r="S52" s="23">
        <f t="shared" si="7"/>
        <v>-4</v>
      </c>
    </row>
  </sheetData>
  <mergeCells count="10">
    <mergeCell ref="A47:A52"/>
    <mergeCell ref="A2:S2"/>
    <mergeCell ref="A23:A28"/>
    <mergeCell ref="A41:A46"/>
    <mergeCell ref="A17:A22"/>
    <mergeCell ref="A35:A40"/>
    <mergeCell ref="A29:A34"/>
    <mergeCell ref="A1:S1"/>
    <mergeCell ref="A5:A10"/>
    <mergeCell ref="A11:A16"/>
  </mergeCells>
  <conditionalFormatting sqref="C5:S52">
    <cfRule type="cellIs" dxfId="4" priority="1" operator="lessThan">
      <formula>0</formula>
    </cfRule>
  </conditionalFormatting>
  <dataValidations count="2">
    <dataValidation type="list" allowBlank="1" sqref="C5 C11 C17 C23 C29 C35 C41 C47 D5 D11 D17 D23 D29 D35 D41 D47 E5 E11 E17 E23 E29 E35 E41 E47 F5 F11 F17 F23 F29 F35 F41 F47 G5 G11 G17 G23 G29 G35 G41 G47 H5 H11 H17 H23 H29 H35 H41 H47 I5 I11 I17 I23 I29 I35 I41 I47 J5 J11 J17 J23 J29 J35 J41 J47 K5 K11 K17 K23 K29 K35 K41 K47 L5 L11 L17 L23 L29 L35 L41 L47 M5 M11 M17 M23 M29 M35 M41 M47 N5 N11 N17 N23 N29 N35 N41 N47 O5 O11 O17 O23 O29 O35 O41 O47 P5 P11 P17 P23 P29 P35 P41 P47 Q5 Q11 Q17 Q23 Q29 Q35 Q41 Q47 R5 R11 R17 R23 R29 R35 R41 R47 S5 S11 S17 S23 S29 S35 S41 S47" xr:uid="{00000000-0002-0000-0200-000000000000}">
      <formula1>"-1,0,1"</formula1>
    </dataValidation>
    <dataValidation type="list" allowBlank="1" sqref="C6 C7 C8 C9 C12 C13 C14 C15 C18 C19 C20 C21 C24 C25 C26 C27 C30 C31 C32 C33 C36 C37 C38 C39 C42 C43 C44 C45 C48 C49 C50 C51 D6 D7 D8 D9 D12 D13 D14 D15 D18 D19 D20 D21 D24 D25 D26 D27 D30 D31 D32 D33 D36 D37 D38 D39 D42 D43 D44 D45 D48 D49 D50 D51 E6 E7 E8 E9 E12 E13 E14 E15 E18 E19 E20 E21 E24 E25 E26 E27 E30 E31 E32 E33 E36 E37 E38 E39 E42 E43 E44 E45 E48 E49 E50 E51 F6 F7 F8 F9 F12 F13 F14 F15 F18 F19 F20 F21 F24 F25 F26 F27 F30 F31 F32 F33 F36 F37 F38 F39 F42 F43 F44 F45 F48 F49 F50 F51 G6 G7 G8 G9 G12 G13 G14 G15 G18 G19 G20 G21 G24 G25 G26 G27 G30 G31 G32 G33 G36 G37 G38 G39 G42 G43 G44 G45 G48 G49 G50 G51 H6 H7 H8 H9 H12 H13 H14 H15 H18 H19 H20 H21 H24 H25 H26 H27 H30 H31 H32 H33 H36 H37 H38 H39 H42 H43 H44 H45 H48 H49 H50 H51 I6 I7 I8 I9 I12 I13 I14 I15 I18 I19 I20 I21 I24 I25 I26 I27 I30 I31 I32 I33 I36 I37 I38 I39 I42 I43 I44 I45 I48 I49 I50 I51 J6 J7 J8 J9 J12 J13 J14 J15 J18 J19 J20 J21 J24 J25 J26 J27 J30 J31 J32 J33 J36 J37 J38 J39 J42 J43 J44 J45 J48 J49 J50 J51 K6 K7 K8 K9 K12 K13 K14 K15 K18 K19 K20 K21 K24 K25 K26 K27 K30 K31 K32 K33 K36 K37 K38 K39 K42 K43 K44 K45 K48 K49 K50 K51 L6 L7 L8 L9 L12 L13 L14 L15 L18 L19 L20 L21 L24 L25 L26 L27 L30 L31 L32 L33 L36 L37 L38 L39 L42 L43 L44 L45 L48 L49 L50 L51 M6 M7 M8 M9 M12 M13 M14 M15 M18 M19 M20 M21 M24 M25 M26 M27 M30 M31 M32 M33 M36 M37 M38 M39 M42 M43 M44 M45 M48 M49 M50 M51 N6 N7 N8 N9 N12 N13 N14 N15 N18 N19 N20 N21 N24 N25 N26 N27 N30 N31 N32 N33 N36 N37 N38 N39 N42 N43 N44 N45 N48 N49 N50 N51 O6 O7 O8 O9 O12 O13 O14 O15 O18 O19 O20 O21 O24 O25 O26 O27 O30 O31 O32 O33 O36 O37 O38 O39 O42 O43 O44 O45 O48 O49 O50 O51 P6 P7 P8 P9 P12 P13 P14 P15 P18 P19 P20 P21 P24 P25 P26 P27 P30 P31 P32 P33 P36 P37 P38 P39 P42 P43 P44 P45 P48 P49 P50 P51 Q6 Q7 Q8 Q9 Q12 Q13 Q14 Q15 Q18 Q19 Q20 Q21 Q24 Q25 Q26 Q27 Q30 Q31 Q32 Q33 Q36 Q37 Q38 Q39 Q42 Q43 Q44 Q45 Q48 Q49 Q50 Q51 R6 R7 R8 R9 R12 R13 R14 R15 R18 R19 R20 R21 R24 R25 R26 R27 R30 R31 R32 R33 R36 R37 R38 R39 R42 R43 R44 R45 R48 R49 R50 R51 S6 S7 S8 S9 S12 S13 S14 S15 S18 S19 S20 S21 S24 S25 S26 S27 S30 S31 S32 S33 S36 S37 S38 S39 S42 S43 S44 S45 S48 S49 S50 S51" xr:uid="{00000000-0002-0000-0200-000001000000}">
      <formula1>"0,1,2,3"</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38"/>
  <sheetViews>
    <sheetView showGridLines="0" workbookViewId="0"/>
  </sheetViews>
  <sheetFormatPr defaultRowHeight="14.4" x14ac:dyDescent="0.3"/>
  <cols>
    <col min="1" max="1" width="4" customWidth="1"/>
    <col min="2" max="2" width="38" customWidth="1"/>
    <col min="3" max="5" width="14" customWidth="1"/>
    <col min="6" max="6" width="16" customWidth="1"/>
  </cols>
  <sheetData>
    <row r="2" spans="2:6" ht="30" customHeight="1" x14ac:dyDescent="0.3">
      <c r="B2" s="35" t="s">
        <v>101</v>
      </c>
      <c r="C2" s="34"/>
      <c r="D2" s="34"/>
      <c r="E2" s="34"/>
      <c r="F2" s="34"/>
    </row>
    <row r="3" spans="2:6" ht="42" customHeight="1" x14ac:dyDescent="0.3">
      <c r="B3" s="33" t="s">
        <v>102</v>
      </c>
      <c r="C3" s="34"/>
      <c r="D3" s="34"/>
      <c r="E3" s="34"/>
      <c r="F3" s="34"/>
    </row>
    <row r="5" spans="2:6" ht="15.6" x14ac:dyDescent="0.3">
      <c r="B5" s="7" t="s">
        <v>103</v>
      </c>
    </row>
    <row r="6" spans="2:6" x14ac:dyDescent="0.3">
      <c r="B6" s="2" t="s">
        <v>104</v>
      </c>
      <c r="C6" s="2" t="s">
        <v>105</v>
      </c>
      <c r="D6" s="2" t="s">
        <v>106</v>
      </c>
      <c r="E6" s="2" t="s">
        <v>107</v>
      </c>
      <c r="F6" s="2" t="s">
        <v>108</v>
      </c>
    </row>
    <row r="7" spans="2:6" x14ac:dyDescent="0.3">
      <c r="B7" s="5" t="str">
        <f>'Matriz de Leopold'!B8</f>
        <v>Modificacao de Habitat</v>
      </c>
      <c r="C7" s="6">
        <f>'Matriz de Leopold'!T8</f>
        <v>-83</v>
      </c>
      <c r="D7" s="6">
        <f>'Matriz de Leopold'!U8</f>
        <v>12</v>
      </c>
      <c r="E7" s="6">
        <f>'Matriz de Leopold'!V8</f>
        <v>0</v>
      </c>
      <c r="F7" s="6">
        <f t="shared" ref="F7:F14" si="0">ROUND(C7/17,2)</f>
        <v>-4.88</v>
      </c>
    </row>
    <row r="8" spans="2:6" x14ac:dyDescent="0.3">
      <c r="B8" s="3" t="str">
        <f>'Matriz de Leopold'!B9</f>
        <v>Alteracao da Cobertura do Solo</v>
      </c>
      <c r="C8" s="4">
        <f>'Matriz de Leopold'!T9</f>
        <v>-69</v>
      </c>
      <c r="D8" s="4">
        <f>'Matriz de Leopold'!U9</f>
        <v>10</v>
      </c>
      <c r="E8" s="4">
        <f>'Matriz de Leopold'!V9</f>
        <v>0</v>
      </c>
      <c r="F8" s="4">
        <f t="shared" si="0"/>
        <v>-4.0599999999999996</v>
      </c>
    </row>
    <row r="9" spans="2:6" x14ac:dyDescent="0.3">
      <c r="B9" s="5" t="str">
        <f>'Matriz de Leopold'!B10</f>
        <v>Alteracao do Balanco Hidrologico</v>
      </c>
      <c r="C9" s="6">
        <f>'Matriz de Leopold'!T10</f>
        <v>-38</v>
      </c>
      <c r="D9" s="6">
        <f>'Matriz de Leopold'!U10</f>
        <v>7</v>
      </c>
      <c r="E9" s="6">
        <f>'Matriz de Leopold'!V10</f>
        <v>0</v>
      </c>
      <c r="F9" s="6">
        <f t="shared" si="0"/>
        <v>-2.2400000000000002</v>
      </c>
    </row>
    <row r="10" spans="2:6" x14ac:dyDescent="0.3">
      <c r="B10" s="3" t="str">
        <f>'Matriz de Leopold'!B11</f>
        <v>Alteracao da Drenagem</v>
      </c>
      <c r="C10" s="4">
        <f>'Matriz de Leopold'!T11</f>
        <v>-47</v>
      </c>
      <c r="D10" s="4">
        <f>'Matriz de Leopold'!U11</f>
        <v>6</v>
      </c>
      <c r="E10" s="4">
        <f>'Matriz de Leopold'!V11</f>
        <v>0</v>
      </c>
      <c r="F10" s="4">
        <f t="shared" si="0"/>
        <v>-2.76</v>
      </c>
    </row>
    <row r="11" spans="2:6" x14ac:dyDescent="0.3">
      <c r="B11" s="5" t="str">
        <f>'Matriz de Leopold'!B12</f>
        <v>Pavimentacao de Superficies</v>
      </c>
      <c r="C11" s="6">
        <f>'Matriz de Leopold'!T12</f>
        <v>-45</v>
      </c>
      <c r="D11" s="6">
        <f>'Matriz de Leopold'!U12</f>
        <v>7</v>
      </c>
      <c r="E11" s="6">
        <f>'Matriz de Leopold'!V12</f>
        <v>1</v>
      </c>
      <c r="F11" s="6">
        <f t="shared" si="0"/>
        <v>-2.65</v>
      </c>
    </row>
    <row r="12" spans="2:6" x14ac:dyDescent="0.3">
      <c r="B12" s="3" t="str">
        <f>'Matriz de Leopold'!B13</f>
        <v>Ruidos ou Vibracao</v>
      </c>
      <c r="C12" s="4">
        <f>'Matriz de Leopold'!T13</f>
        <v>-13</v>
      </c>
      <c r="D12" s="4">
        <f>'Matriz de Leopold'!U13</f>
        <v>3</v>
      </c>
      <c r="E12" s="4">
        <f>'Matriz de Leopold'!V13</f>
        <v>0</v>
      </c>
      <c r="F12" s="4">
        <f t="shared" si="0"/>
        <v>-0.76</v>
      </c>
    </row>
    <row r="13" spans="2:6" x14ac:dyDescent="0.3">
      <c r="B13" s="5" t="str">
        <f>'Matriz de Leopold'!B14</f>
        <v>Aterro</v>
      </c>
      <c r="C13" s="6">
        <f>'Matriz de Leopold'!T14</f>
        <v>-17</v>
      </c>
      <c r="D13" s="6">
        <f>'Matriz de Leopold'!U14</f>
        <v>5</v>
      </c>
      <c r="E13" s="6">
        <f>'Matriz de Leopold'!V14</f>
        <v>2</v>
      </c>
      <c r="F13" s="6">
        <f t="shared" si="0"/>
        <v>-1</v>
      </c>
    </row>
    <row r="14" spans="2:6" x14ac:dyDescent="0.3">
      <c r="B14" s="3" t="str">
        <f>'Matriz de Leopold'!B15</f>
        <v>Escavacoes de Superficie</v>
      </c>
      <c r="C14" s="4">
        <f>'Matriz de Leopold'!T15</f>
        <v>-53</v>
      </c>
      <c r="D14" s="4">
        <f>'Matriz de Leopold'!U15</f>
        <v>10</v>
      </c>
      <c r="E14" s="4">
        <f>'Matriz de Leopold'!V15</f>
        <v>1</v>
      </c>
      <c r="F14" s="4">
        <f t="shared" si="0"/>
        <v>-3.12</v>
      </c>
    </row>
    <row r="17" spans="2:6" ht="15.6" x14ac:dyDescent="0.3">
      <c r="B17" s="7" t="s">
        <v>109</v>
      </c>
    </row>
    <row r="18" spans="2:6" x14ac:dyDescent="0.3">
      <c r="B18" s="12" t="s">
        <v>110</v>
      </c>
      <c r="C18" s="12" t="s">
        <v>105</v>
      </c>
      <c r="D18" s="12" t="s">
        <v>106</v>
      </c>
      <c r="E18" s="12" t="s">
        <v>107</v>
      </c>
      <c r="F18" s="12" t="s">
        <v>111</v>
      </c>
    </row>
    <row r="19" spans="2:6" x14ac:dyDescent="0.3">
      <c r="B19" s="5" t="s">
        <v>64</v>
      </c>
      <c r="C19" s="6">
        <f>'Matriz de Leopold'!C16</f>
        <v>-17</v>
      </c>
      <c r="D19" s="6">
        <f>'Matriz de Leopold'!C17</f>
        <v>2</v>
      </c>
      <c r="E19" s="6">
        <f>'Matriz de Leopold'!C18</f>
        <v>0</v>
      </c>
      <c r="F19" s="6">
        <f t="shared" ref="F19:F35" si="1">ROUND(C19/8,2)</f>
        <v>-2.13</v>
      </c>
    </row>
    <row r="20" spans="2:6" x14ac:dyDescent="0.3">
      <c r="B20" s="30" t="s">
        <v>65</v>
      </c>
      <c r="C20" s="31">
        <f>'Matriz de Leopold'!D16</f>
        <v>-38</v>
      </c>
      <c r="D20" s="31">
        <f>'Matriz de Leopold'!D17</f>
        <v>5</v>
      </c>
      <c r="E20" s="31">
        <f>'Matriz de Leopold'!D18</f>
        <v>0</v>
      </c>
      <c r="F20" s="31">
        <f t="shared" si="1"/>
        <v>-4.75</v>
      </c>
    </row>
    <row r="21" spans="2:6" x14ac:dyDescent="0.3">
      <c r="B21" s="5" t="s">
        <v>66</v>
      </c>
      <c r="C21" s="6">
        <f>'Matriz de Leopold'!E16</f>
        <v>-35</v>
      </c>
      <c r="D21" s="6">
        <f>'Matriz de Leopold'!E17</f>
        <v>4</v>
      </c>
      <c r="E21" s="6">
        <f>'Matriz de Leopold'!E18</f>
        <v>0</v>
      </c>
      <c r="F21" s="6">
        <f t="shared" si="1"/>
        <v>-4.38</v>
      </c>
    </row>
    <row r="22" spans="2:6" x14ac:dyDescent="0.3">
      <c r="B22" s="30" t="s">
        <v>67</v>
      </c>
      <c r="C22" s="31">
        <f>'Matriz de Leopold'!F16</f>
        <v>-55</v>
      </c>
      <c r="D22" s="31">
        <f>'Matriz de Leopold'!F17</f>
        <v>7</v>
      </c>
      <c r="E22" s="31">
        <f>'Matriz de Leopold'!F18</f>
        <v>0</v>
      </c>
      <c r="F22" s="31">
        <f t="shared" si="1"/>
        <v>-6.88</v>
      </c>
    </row>
    <row r="23" spans="2:6" x14ac:dyDescent="0.3">
      <c r="B23" s="5" t="s">
        <v>68</v>
      </c>
      <c r="C23" s="6">
        <f>'Matriz de Leopold'!G16</f>
        <v>0</v>
      </c>
      <c r="D23" s="6">
        <f>'Matriz de Leopold'!G17</f>
        <v>0</v>
      </c>
      <c r="E23" s="6">
        <f>'Matriz de Leopold'!G18</f>
        <v>0</v>
      </c>
      <c r="F23" s="6">
        <f t="shared" si="1"/>
        <v>0</v>
      </c>
    </row>
    <row r="24" spans="2:6" x14ac:dyDescent="0.3">
      <c r="B24" s="30" t="s">
        <v>69</v>
      </c>
      <c r="C24" s="31">
        <f>'Matriz de Leopold'!H16</f>
        <v>-55</v>
      </c>
      <c r="D24" s="31">
        <f>'Matriz de Leopold'!H17</f>
        <v>7</v>
      </c>
      <c r="E24" s="31">
        <f>'Matriz de Leopold'!H18</f>
        <v>0</v>
      </c>
      <c r="F24" s="31">
        <f t="shared" si="1"/>
        <v>-6.88</v>
      </c>
    </row>
    <row r="25" spans="2:6" x14ac:dyDescent="0.3">
      <c r="B25" s="5" t="s">
        <v>70</v>
      </c>
      <c r="C25" s="6">
        <f>'Matriz de Leopold'!I16</f>
        <v>0</v>
      </c>
      <c r="D25" s="6">
        <f>'Matriz de Leopold'!I17</f>
        <v>0</v>
      </c>
      <c r="E25" s="6">
        <f>'Matriz de Leopold'!I18</f>
        <v>0</v>
      </c>
      <c r="F25" s="6">
        <f t="shared" si="1"/>
        <v>0</v>
      </c>
    </row>
    <row r="26" spans="2:6" x14ac:dyDescent="0.3">
      <c r="B26" s="30" t="s">
        <v>71</v>
      </c>
      <c r="C26" s="31">
        <f>'Matriz de Leopold'!J16</f>
        <v>-39</v>
      </c>
      <c r="D26" s="31">
        <f>'Matriz de Leopold'!J17</f>
        <v>5</v>
      </c>
      <c r="E26" s="31">
        <f>'Matriz de Leopold'!J18</f>
        <v>1</v>
      </c>
      <c r="F26" s="31">
        <f t="shared" si="1"/>
        <v>-4.88</v>
      </c>
    </row>
    <row r="27" spans="2:6" x14ac:dyDescent="0.3">
      <c r="B27" s="5" t="s">
        <v>72</v>
      </c>
      <c r="C27" s="6">
        <f>'Matriz de Leopold'!K16</f>
        <v>-28</v>
      </c>
      <c r="D27" s="6">
        <f>'Matriz de Leopold'!K17</f>
        <v>6</v>
      </c>
      <c r="E27" s="6">
        <f>'Matriz de Leopold'!K18</f>
        <v>0</v>
      </c>
      <c r="F27" s="6">
        <f t="shared" si="1"/>
        <v>-3.5</v>
      </c>
    </row>
    <row r="28" spans="2:6" x14ac:dyDescent="0.3">
      <c r="B28" s="30" t="s">
        <v>73</v>
      </c>
      <c r="C28" s="31">
        <f>'Matriz de Leopold'!L16</f>
        <v>-31</v>
      </c>
      <c r="D28" s="31">
        <f>'Matriz de Leopold'!L17</f>
        <v>6</v>
      </c>
      <c r="E28" s="31">
        <f>'Matriz de Leopold'!L18</f>
        <v>0</v>
      </c>
      <c r="F28" s="31">
        <f t="shared" si="1"/>
        <v>-3.88</v>
      </c>
    </row>
    <row r="29" spans="2:6" x14ac:dyDescent="0.3">
      <c r="B29" s="5" t="s">
        <v>74</v>
      </c>
      <c r="C29" s="6">
        <f>'Matriz de Leopold'!M16</f>
        <v>-20</v>
      </c>
      <c r="D29" s="6">
        <f>'Matriz de Leopold'!M17</f>
        <v>4</v>
      </c>
      <c r="E29" s="6">
        <f>'Matriz de Leopold'!M18</f>
        <v>0</v>
      </c>
      <c r="F29" s="6">
        <f t="shared" si="1"/>
        <v>-2.5</v>
      </c>
    </row>
    <row r="30" spans="2:6" x14ac:dyDescent="0.3">
      <c r="B30" s="30" t="s">
        <v>75</v>
      </c>
      <c r="C30" s="31">
        <f>'Matriz de Leopold'!N16</f>
        <v>-30</v>
      </c>
      <c r="D30" s="31">
        <f>'Matriz de Leopold'!N17</f>
        <v>7</v>
      </c>
      <c r="E30" s="31">
        <f>'Matriz de Leopold'!N18</f>
        <v>0</v>
      </c>
      <c r="F30" s="31">
        <f t="shared" si="1"/>
        <v>-3.75</v>
      </c>
    </row>
    <row r="31" spans="2:6" x14ac:dyDescent="0.3">
      <c r="B31" s="5" t="s">
        <v>76</v>
      </c>
      <c r="C31" s="6">
        <f>'Matriz de Leopold'!O16</f>
        <v>-4</v>
      </c>
      <c r="D31" s="6">
        <f>'Matriz de Leopold'!O17</f>
        <v>1</v>
      </c>
      <c r="E31" s="6">
        <f>'Matriz de Leopold'!O18</f>
        <v>0</v>
      </c>
      <c r="F31" s="6">
        <f t="shared" si="1"/>
        <v>-0.5</v>
      </c>
    </row>
    <row r="32" spans="2:6" x14ac:dyDescent="0.3">
      <c r="B32" s="30" t="s">
        <v>77</v>
      </c>
      <c r="C32" s="31">
        <f>'Matriz de Leopold'!P16</f>
        <v>15</v>
      </c>
      <c r="D32" s="31">
        <f>'Matriz de Leopold'!P17</f>
        <v>0</v>
      </c>
      <c r="E32" s="31">
        <f>'Matriz de Leopold'!P18</f>
        <v>3</v>
      </c>
      <c r="F32" s="31">
        <f t="shared" si="1"/>
        <v>1.88</v>
      </c>
    </row>
    <row r="33" spans="2:6" x14ac:dyDescent="0.3">
      <c r="B33" s="5" t="s">
        <v>78</v>
      </c>
      <c r="C33" s="6">
        <f>'Matriz de Leopold'!Q16</f>
        <v>0</v>
      </c>
      <c r="D33" s="6">
        <f>'Matriz de Leopold'!Q17</f>
        <v>0</v>
      </c>
      <c r="E33" s="6">
        <f>'Matriz de Leopold'!Q18</f>
        <v>0</v>
      </c>
      <c r="F33" s="6">
        <f t="shared" si="1"/>
        <v>0</v>
      </c>
    </row>
    <row r="34" spans="2:6" x14ac:dyDescent="0.3">
      <c r="B34" s="30" t="s">
        <v>79</v>
      </c>
      <c r="C34" s="31">
        <f>'Matriz de Leopold'!R16</f>
        <v>-18</v>
      </c>
      <c r="D34" s="31">
        <f>'Matriz de Leopold'!R17</f>
        <v>4</v>
      </c>
      <c r="E34" s="31">
        <f>'Matriz de Leopold'!R18</f>
        <v>0</v>
      </c>
      <c r="F34" s="31">
        <f t="shared" si="1"/>
        <v>-2.25</v>
      </c>
    </row>
    <row r="35" spans="2:6" x14ac:dyDescent="0.3">
      <c r="B35" s="5" t="s">
        <v>80</v>
      </c>
      <c r="C35" s="6">
        <f>'Matriz de Leopold'!S16</f>
        <v>-10</v>
      </c>
      <c r="D35" s="6">
        <f>'Matriz de Leopold'!S17</f>
        <v>2</v>
      </c>
      <c r="E35" s="6">
        <f>'Matriz de Leopold'!S18</f>
        <v>0</v>
      </c>
      <c r="F35" s="6">
        <f t="shared" si="1"/>
        <v>-1.25</v>
      </c>
    </row>
    <row r="38" spans="2:6" ht="15.6" x14ac:dyDescent="0.3">
      <c r="B38" s="58" t="s">
        <v>112</v>
      </c>
      <c r="C38" s="34"/>
      <c r="D38" s="32">
        <f>'Matriz de Leopold'!T16</f>
        <v>-365</v>
      </c>
    </row>
  </sheetData>
  <mergeCells count="3">
    <mergeCell ref="B2:F2"/>
    <mergeCell ref="B38:C38"/>
    <mergeCell ref="B3:F3"/>
  </mergeCells>
  <conditionalFormatting sqref="C7:C14">
    <cfRule type="cellIs" dxfId="3" priority="1" operator="lessThan">
      <formula>0</formula>
    </cfRule>
    <cfRule type="cellIs" dxfId="2" priority="2" operator="greaterThan">
      <formula>0</formula>
    </cfRule>
  </conditionalFormatting>
  <conditionalFormatting sqref="C19:C35">
    <cfRule type="cellIs" dxfId="1" priority="3" operator="lessThan">
      <formula>0</formula>
    </cfRule>
    <cfRule type="cellIs" dxfId="0" priority="4" operator="greaterThan">
      <formula>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Instrucoes</vt:lpstr>
      <vt:lpstr>Matriz de Leopold</vt:lpstr>
      <vt:lpstr>Memoria de Calculo</vt:lpstr>
      <vt:lpstr>Sintese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Vidal Santos</cp:lastModifiedBy>
  <dcterms:created xsi:type="dcterms:W3CDTF">2026-10-05T10:44:50Z</dcterms:created>
  <dcterms:modified xsi:type="dcterms:W3CDTF">2026-10-05T10:47:39Z</dcterms:modified>
</cp:coreProperties>
</file>